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arkin-my.sharepoint.com/personal/it_due_zarkin_onmicrosoft_com/Documents/Documentos/al_maletin/PARA EL RETIRO/"/>
    </mc:Choice>
  </mc:AlternateContent>
  <xr:revisionPtr revIDLastSave="1093" documentId="8_{1402AF8E-01AE-4905-A8E4-89E1DB17F1F7}" xr6:coauthVersionLast="47" xr6:coauthVersionMax="47" xr10:uidLastSave="{069B3EE1-E2CE-4E74-9BE9-7FC85A287318}"/>
  <bookViews>
    <workbookView xWindow="-120" yWindow="-120" windowWidth="20730" windowHeight="11040" activeTab="1" xr2:uid="{05E22A7C-AEF3-4E0A-857A-96523301D07D}"/>
  </bookViews>
  <sheets>
    <sheet name="FECHAS" sheetId="1" r:id="rId1"/>
    <sheet name="VMA" sheetId="4" r:id="rId2"/>
    <sheet name="ZARKIN" sheetId="2" r:id="rId3"/>
    <sheet name="ITEKNIA" sheetId="3" r:id="rId4"/>
    <sheet name="VARIAS" sheetId="6" r:id="rId5"/>
    <sheet name="YOLANDA" sheetId="5" r:id="rId6"/>
  </sheets>
  <externalReferences>
    <externalReference r:id="rId7"/>
    <externalReference r:id="rId8"/>
  </externalReferences>
  <definedNames>
    <definedName name="_xlnm._FilterDatabase" localSheetId="0" hidden="1">FECHAS!$B$6:$F$106</definedName>
    <definedName name="_xlnm._FilterDatabase" localSheetId="3" hidden="1">ITEKNIA!$B$6:$H$60</definedName>
    <definedName name="_xlnm._FilterDatabase" localSheetId="1" hidden="1">VMA!$B$6:$H$68</definedName>
    <definedName name="_xlnm._FilterDatabase" localSheetId="5" hidden="1">YOLANDA!$B$6:$H$19</definedName>
    <definedName name="_xlnm._FilterDatabase" localSheetId="2" hidden="1">ZARKIN!$B$6:$H$19</definedName>
    <definedName name="BANCOS" localSheetId="0">[1]CATEGORIAS!$C$8:$C$20</definedName>
    <definedName name="BANCOS" localSheetId="3">[1]CATEGORIAS!$C$8:$C$20</definedName>
    <definedName name="BANCOS" localSheetId="1">[1]CATEGORIAS!$C$8:$C$20</definedName>
    <definedName name="BANCOS" localSheetId="5">[1]CATEGORIAS!$C$8:$C$20</definedName>
    <definedName name="BANCOS" localSheetId="2">[1]CATEGORIAS!$C$8:$C$20</definedName>
    <definedName name="BANCOS">[2]CATEGORIAS!$C$8:$C$20</definedName>
    <definedName name="CATEGORIA" localSheetId="0">[1]CATEGORIAS!$B$6:$L$6</definedName>
    <definedName name="CATEGORIA" localSheetId="3">[1]CATEGORIAS!$B$6:$L$6</definedName>
    <definedName name="CATEGORIA" localSheetId="1">[1]CATEGORIAS!$B$6:$L$6</definedName>
    <definedName name="CATEGORIA" localSheetId="5">[1]CATEGORIAS!$B$6:$L$6</definedName>
    <definedName name="CATEGORIA" localSheetId="2">[1]CATEGORIAS!$B$6:$L$6</definedName>
    <definedName name="CATEGORIA">[2]CATEGORIAS!$B$6:$L$6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C12" i="1"/>
  <c r="C23" i="1"/>
  <c r="C22" i="1"/>
  <c r="C19" i="1"/>
  <c r="C17" i="1"/>
  <c r="C13" i="1"/>
  <c r="C11" i="1"/>
  <c r="C25" i="1"/>
  <c r="C18" i="1"/>
  <c r="C16" i="1"/>
  <c r="C24" i="1"/>
  <c r="C7" i="1"/>
  <c r="C8" i="1"/>
  <c r="C21" i="1"/>
  <c r="C10" i="1"/>
  <c r="C20" i="1"/>
  <c r="C9" i="1"/>
  <c r="C15" i="1"/>
  <c r="F10" i="6"/>
  <c r="G10" i="6" s="1"/>
  <c r="F11" i="6"/>
  <c r="G11" i="6" s="1"/>
  <c r="F12" i="6"/>
  <c r="G12" i="6" s="1"/>
  <c r="F9" i="6"/>
  <c r="G9" i="6" s="1"/>
  <c r="C13" i="6"/>
  <c r="B4" i="6"/>
  <c r="B4" i="4"/>
  <c r="B4" i="5"/>
  <c r="B4" i="3"/>
  <c r="B4" i="2"/>
  <c r="G13" i="6" l="1"/>
  <c r="F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9" authorId="0" shapeId="0" xr:uid="{B10790FA-3AC8-490B-B749-585DB9CB49DD}">
      <text>
        <r>
          <rPr>
            <sz val="12"/>
            <color theme="1"/>
            <rFont val="Calibri"/>
            <family val="2"/>
            <scheme val="minor"/>
          </rPr>
          <t>======
ID#AAAAk5TAb30
Vicente Cueva R    (2023-02-14 04:39:17)
Anterior Victoria77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SOPORTESAP</author>
  </authors>
  <commentList>
    <comment ref="C10" authorId="0" shapeId="0" xr:uid="{32CE8404-7406-4DDB-BD22-B42093F61627}">
      <text>
        <r>
          <rPr>
            <b/>
            <sz val="9"/>
            <color indexed="81"/>
            <rFont val="Tahoma"/>
            <family val="2"/>
          </rPr>
          <t xml:space="preserve">VMA
</t>
        </r>
        <r>
          <rPr>
            <sz val="9"/>
            <color indexed="81"/>
            <rFont val="Tahoma"/>
            <family val="2"/>
          </rPr>
          <t xml:space="preserve">Un kilogramos es aproximadamente dos litros.
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<sst xmlns="http://schemas.openxmlformats.org/spreadsheetml/2006/main" count="913" uniqueCount="524">
  <si>
    <t xml:space="preserve"> F5FMD RQGD7 22JHJ CNWMQ</t>
  </si>
  <si>
    <t>Codigo de Activacion</t>
  </si>
  <si>
    <t>KASPERKY</t>
  </si>
  <si>
    <t>ANTIVIRUS</t>
  </si>
  <si>
    <t>ZARKIN</t>
  </si>
  <si>
    <t>SAP 10</t>
  </si>
  <si>
    <t>B1Admin</t>
  </si>
  <si>
    <t>sa</t>
  </si>
  <si>
    <t>SERVER 13.0.160.5</t>
  </si>
  <si>
    <t>SQL</t>
  </si>
  <si>
    <t>Tel. 33 3584 1822</t>
  </si>
  <si>
    <t>Mauricio&amp;77</t>
  </si>
  <si>
    <t>it.duo@zarkin.onmicrosoft.com</t>
  </si>
  <si>
    <t>CUENTA DE ZARKIN</t>
  </si>
  <si>
    <t>OFFICE 365</t>
  </si>
  <si>
    <t>Proyecto VB de Zarkin.</t>
  </si>
  <si>
    <t>V1059</t>
  </si>
  <si>
    <t>MANAGER</t>
  </si>
  <si>
    <t>REPORTERIA</t>
  </si>
  <si>
    <t>Equipos en General</t>
  </si>
  <si>
    <t>@Nt1v1&amp;u5</t>
  </si>
  <si>
    <t>KLAdmin</t>
  </si>
  <si>
    <t>vcuevar@gmail.com</t>
  </si>
  <si>
    <t>Victoria&amp;77</t>
  </si>
  <si>
    <t>vcuevar</t>
  </si>
  <si>
    <t>https://account.adobe.com/</t>
  </si>
  <si>
    <t xml:space="preserve">ADOBE </t>
  </si>
  <si>
    <t>Equipo que se esta usando para pruebas desarrolladores.</t>
  </si>
  <si>
    <t xml:space="preserve"> muliix700</t>
  </si>
  <si>
    <t>757 303 105</t>
  </si>
  <si>
    <t>EQUIPO PUENTE 1</t>
  </si>
  <si>
    <t>ANYDESK</t>
  </si>
  <si>
    <t>ITEKNIA</t>
  </si>
  <si>
    <t>Repositorio Maneja Eduardo Rodriguez.</t>
  </si>
  <si>
    <t>Victoria77</t>
  </si>
  <si>
    <t>bitbucket.org(eduardorove/workspace/overview</t>
  </si>
  <si>
    <t>BITBUCKET</t>
  </si>
  <si>
    <t>VMA</t>
  </si>
  <si>
    <t>Genero cuenta 16/Ene/2024</t>
  </si>
  <si>
    <t>Mauricio24</t>
  </si>
  <si>
    <t>myssantillan@gmal.com</t>
  </si>
  <si>
    <t>https://www.mercadolibre.com.mx/</t>
  </si>
  <si>
    <t>MERCADO LIBRE</t>
  </si>
  <si>
    <t>YOLANDA</t>
  </si>
  <si>
    <t>SantaMaria2015</t>
  </si>
  <si>
    <t>samarepa@hotmail.com</t>
  </si>
  <si>
    <t>https://www.facebook.com</t>
  </si>
  <si>
    <t>FACE BOOK</t>
  </si>
  <si>
    <t>Edos de Cuenta. Yolanda.</t>
  </si>
  <si>
    <t>Mauricio&amp;63</t>
  </si>
  <si>
    <t>10070151089</t>
  </si>
  <si>
    <t>CAJA POPULAR</t>
  </si>
  <si>
    <t>Desbloqueo de Edos Cuenta</t>
  </si>
  <si>
    <t>SASY630616EC0</t>
  </si>
  <si>
    <t>RFC Yolanda.</t>
  </si>
  <si>
    <t>BANCO AZTECA</t>
  </si>
  <si>
    <t>Clave Anfitrion:  527253</t>
  </si>
  <si>
    <t>https://zoom.us/</t>
  </si>
  <si>
    <t>ZOOM</t>
  </si>
  <si>
    <t>Con Google</t>
  </si>
  <si>
    <t>https://www.tiktok.com</t>
  </si>
  <si>
    <t>TIKTOK</t>
  </si>
  <si>
    <t>CREDITO NO. 160815, Se cambio contraseña 13/Juli/23 por Juan Velazquez entro de tertius.</t>
  </si>
  <si>
    <t>160815</t>
  </si>
  <si>
    <t>https://acreditados.tertius.com.mx/acceso/tertius</t>
  </si>
  <si>
    <t>TERTIUS</t>
  </si>
  <si>
    <t>3336069045</t>
  </si>
  <si>
    <t>https://telmex.com/web/hogar</t>
  </si>
  <si>
    <t>TELMEX</t>
  </si>
  <si>
    <t>3336802181</t>
  </si>
  <si>
    <t>https://telmex.com/web/negocios</t>
  </si>
  <si>
    <t>Registrado con Gogle</t>
  </si>
  <si>
    <t>spotify.com</t>
  </si>
  <si>
    <t>SPOTIFY</t>
  </si>
  <si>
    <t>NIV / PLACAS / MODELOS (AÑO).</t>
  </si>
  <si>
    <t>2017</t>
  </si>
  <si>
    <t>JSH6229</t>
  </si>
  <si>
    <t>MA6CA6AD6HT002702</t>
  </si>
  <si>
    <t>SPARK CLASIC</t>
  </si>
  <si>
    <t>Recibos de Emanuel</t>
  </si>
  <si>
    <t>https://www.siapa.gob.mx/reciboenlinea</t>
  </si>
  <si>
    <t>SIAPA</t>
  </si>
  <si>
    <t>Recibos de Vicente</t>
  </si>
  <si>
    <t>Con la FIEL</t>
  </si>
  <si>
    <t>Chente77</t>
  </si>
  <si>
    <t>CURV630707QS9</t>
  </si>
  <si>
    <t>SAT</t>
  </si>
  <si>
    <t>SASY63</t>
  </si>
  <si>
    <t>Cliente: 23696198 ID:4758</t>
  </si>
  <si>
    <t>Mauris77</t>
  </si>
  <si>
    <t>https://www.santander.com.mx/</t>
  </si>
  <si>
    <t>Santander Movil</t>
  </si>
  <si>
    <t>SANTANDER</t>
  </si>
  <si>
    <t>Dejo de funcionar??</t>
  </si>
  <si>
    <t>kzE6D2070763</t>
  </si>
  <si>
    <t>Desbloquear Estados de Cuenta.</t>
  </si>
  <si>
    <t>Invitado Emanuel.</t>
  </si>
  <si>
    <t>https://www.netflix.com</t>
  </si>
  <si>
    <t>NETFLIX</t>
  </si>
  <si>
    <t>Cuenta de Emanuel.</t>
  </si>
  <si>
    <t>EmaNetflix2020</t>
  </si>
  <si>
    <t>joseemanuelc@gmail.com</t>
  </si>
  <si>
    <t>Correo: vcuevar@hotmail.com</t>
  </si>
  <si>
    <t>vcuevar77</t>
  </si>
  <si>
    <t>www.instagram.com</t>
  </si>
  <si>
    <t>INSTAGRAM</t>
  </si>
  <si>
    <t>Reporte de Semanas Cotizadas</t>
  </si>
  <si>
    <t>kjxLK1038</t>
  </si>
  <si>
    <t>0482636716-3</t>
  </si>
  <si>
    <t>https://www.imss.gob.mx/derechoH/semanas-cotizadas</t>
  </si>
  <si>
    <t>IMSS</t>
  </si>
  <si>
    <t>Cambie por posible Hakeo</t>
  </si>
  <si>
    <t>Chente&amp;77</t>
  </si>
  <si>
    <t>vcuevar@hotmail.com</t>
  </si>
  <si>
    <t>Y CUENTAS DE HOTMAIL MICROSOFT</t>
  </si>
  <si>
    <t>HOTMAIL</t>
  </si>
  <si>
    <t>Mauricio77</t>
  </si>
  <si>
    <t>Para realizar cambios y subir a la Nube.</t>
  </si>
  <si>
    <t>Victoria77Janine</t>
  </si>
  <si>
    <t>SIZ, REPO, KD</t>
  </si>
  <si>
    <t>GITHUB</t>
  </si>
  <si>
    <t>Estudio de PHP</t>
  </si>
  <si>
    <t>https://aprende.org</t>
  </si>
  <si>
    <t>FUNDACION CARLOS SLIM</t>
  </si>
  <si>
    <t>https://www.facebook.com/?stype=lo&amp;jlou=AfdhW74Yksymw98OeGFTXAYoIwZWgXHFzYZN3vnnzNhLM2uPQhBXev_JlqN3lUlFIr9Z6-txEsTnDup5IdkLlzfLph1SapKd0q_coQqBTnkXug&amp;smuh=46536&amp;lh=Ac_sSj4SqVwugeCU</t>
  </si>
  <si>
    <t>Victoria&amp;Janine77</t>
  </si>
  <si>
    <t>https://hub.docker.com/signup</t>
  </si>
  <si>
    <t>DOCKER</t>
  </si>
  <si>
    <t>https://www.coca-colaentuhogar.com/customer/account/</t>
  </si>
  <si>
    <t>COCA COLA</t>
  </si>
  <si>
    <t>https://www.chat.openai.com</t>
  </si>
  <si>
    <t>CHATGPT</t>
  </si>
  <si>
    <t>Para recuperar mensajes de voz.</t>
  </si>
  <si>
    <t>4758</t>
  </si>
  <si>
    <t>*86</t>
  </si>
  <si>
    <t>Buzon de Voz</t>
  </si>
  <si>
    <t>CELULAR</t>
  </si>
  <si>
    <t>Equipo que estoy usando para Zarkin.</t>
  </si>
  <si>
    <t>852 459 469</t>
  </si>
  <si>
    <t>WINDOWS YOLANDA.</t>
  </si>
  <si>
    <t>10110316750</t>
  </si>
  <si>
    <t>https://cajasanrafael.turbopacmx.com/ConsultaDeSocios/</t>
  </si>
  <si>
    <t>Correo: vcuevar@gmail.com (Cuentas Jacarandas, Oficina y Emanuel)</t>
  </si>
  <si>
    <t>https://app.cfe.mx/Aplicaciones/CCFE/MiEspacio/Login.aspx</t>
  </si>
  <si>
    <t>C.F.E.</t>
  </si>
  <si>
    <t>NIP 9592   -&gt; Anterior 4758vic</t>
  </si>
  <si>
    <t>vcuevar / toke celular</t>
  </si>
  <si>
    <t>https://www.bancoazteca.com.mx</t>
  </si>
  <si>
    <t>4027-6657-1483-1600</t>
  </si>
  <si>
    <t>Celular 33-3584-1822</t>
  </si>
  <si>
    <t>vicente1963</t>
  </si>
  <si>
    <t>CURV-630707-HJCVMC-01</t>
  </si>
  <si>
    <t>Profuturo -&gt; Azteca.</t>
  </si>
  <si>
    <t>AFORE MOVIL</t>
  </si>
  <si>
    <t>Notas</t>
  </si>
  <si>
    <t>PWR</t>
  </si>
  <si>
    <t>Usuario</t>
  </si>
  <si>
    <t>Link</t>
  </si>
  <si>
    <t>Concepto</t>
  </si>
  <si>
    <t>Entidad</t>
  </si>
  <si>
    <t>Fecha
Actualizacion</t>
  </si>
  <si>
    <t>Relacion de Accesos Varios</t>
  </si>
  <si>
    <t>Vicente Cueva Ramirez</t>
  </si>
  <si>
    <t>EQUIPO PUENTE 2</t>
  </si>
  <si>
    <t>906 131 541</t>
  </si>
  <si>
    <t>API MULIIX</t>
  </si>
  <si>
    <t>https://gitlab.com/Muliix/muliix-api.git</t>
  </si>
  <si>
    <t>Para realizar clonacion de las API y solo se actualiza el archivo ENV
El archivo ENV se compone de las tres imagenes hay que
Editarlo en un texto para tener respaldo.</t>
  </si>
  <si>
    <t>CHECADOR</t>
  </si>
  <si>
    <t>admin</t>
  </si>
  <si>
    <t>Iteknia2016.</t>
  </si>
  <si>
    <t>CHECADOR DB</t>
  </si>
  <si>
    <t>NOMBRE DB = ITK_checador</t>
  </si>
  <si>
    <t xml:space="preserve"> Itkc4224a</t>
  </si>
  <si>
    <t>CONTPAQi Contabilidad</t>
  </si>
  <si>
    <t>192.168.0.220\COMPAC</t>
  </si>
  <si>
    <t>Admin1</t>
  </si>
  <si>
    <t>CONT_DB_DATABASE=nmITEKNIA_2016</t>
  </si>
  <si>
    <t>CONTPAQi Nomina</t>
  </si>
  <si>
    <t>nmITEKNIA_2016</t>
  </si>
  <si>
    <t>EQUIPO LINUX ITEKNIA</t>
  </si>
  <si>
    <t>VictoriaJanine&amp;77</t>
  </si>
  <si>
    <t>Usuario Administrados. Para Prueba no lo uso.</t>
  </si>
  <si>
    <t>Iteknia Equipa</t>
  </si>
  <si>
    <t>iteknia2022.</t>
  </si>
  <si>
    <t>Usuario Administrados.</t>
  </si>
  <si>
    <t>GUIA RAPIDA API</t>
  </si>
  <si>
    <t>/home/iteknia/Documents/ARCHIVOS/al_maletin</t>
  </si>
  <si>
    <t>Referencia Rapida Guia de arranque de equipos</t>
  </si>
  <si>
    <t>Archivo con instrucciones para levantar los servidores.</t>
  </si>
  <si>
    <t>MULIIX – COMERCIALIZADORA</t>
  </si>
  <si>
    <t>http://itekniaapp.serveftp.com:8084/</t>
  </si>
  <si>
    <t>victoria</t>
  </si>
  <si>
    <t>Muliix Comercializadora</t>
  </si>
  <si>
    <t>ODOO</t>
  </si>
  <si>
    <t>https://comeritk-odoo-dev-14432757.dev.odoo.com/</t>
  </si>
  <si>
    <t>eduardo.macias@iteknia.com</t>
  </si>
  <si>
    <t>iteknia2023</t>
  </si>
  <si>
    <t>QA, Administrador.</t>
  </si>
  <si>
    <t>https://comeritk.odoo.com/web/login</t>
  </si>
  <si>
    <t>myssantillan@gmail.com</t>
  </si>
  <si>
    <t>Usuario para comprar en Oddo/Comer.</t>
  </si>
  <si>
    <t>https://runbot.odoo.com/</t>
  </si>
  <si>
    <t>Ambientes de Pruebas ODDO</t>
  </si>
  <si>
    <t>https://www.odoo.com/documentation/17.0/applications.html</t>
  </si>
  <si>
    <t>Documentacion de ODOO</t>
  </si>
  <si>
    <t>https://www.store.iteknia.com/</t>
  </si>
  <si>
    <t>Productivo, Administrador.</t>
  </si>
  <si>
    <t>PUTY COMER</t>
  </si>
  <si>
    <t>itekniaapp.serveftp.com:22</t>
  </si>
  <si>
    <t>Terminal Servidor COMERCIALIZADORA</t>
  </si>
  <si>
    <t>PUTY ITEKNIA</t>
  </si>
  <si>
    <t>itekniaapp.serveftp.com:21</t>
  </si>
  <si>
    <t>Terminal Servidor ITEKNIA</t>
  </si>
  <si>
    <t>PUTY QA</t>
  </si>
  <si>
    <t>itekniaapp.serveftp.com:23</t>
  </si>
  <si>
    <t>Terminal Servidor QA</t>
  </si>
  <si>
    <t>SLACK</t>
  </si>
  <si>
    <t>slack.com</t>
  </si>
  <si>
    <t>Chente77&amp;Cueva</t>
  </si>
  <si>
    <t>https://itekniaespacio.slack.com/ Canal #sistemasitk</t>
  </si>
  <si>
    <t>SQL Comercializadora</t>
  </si>
  <si>
    <t>itekniaapp.serveftp.com,1431</t>
  </si>
  <si>
    <t>Itkc4224a</t>
  </si>
  <si>
    <t>SQL Productivo</t>
  </si>
  <si>
    <t>192.168.0.19</t>
  </si>
  <si>
    <t>Tablas de MULIIX en Linux Servidor 19</t>
  </si>
  <si>
    <t>itekniaapp.serveftp.com,1433</t>
  </si>
  <si>
    <t>SQL QA</t>
  </si>
  <si>
    <t>itekniaapp.serveftp.com,1430</t>
  </si>
  <si>
    <t>Itkc4224aQA</t>
  </si>
  <si>
    <t>TEAMVIEWER</t>
  </si>
  <si>
    <t>1 284 591 533</t>
  </si>
  <si>
    <t>1 287 103 091</t>
  </si>
  <si>
    <t>VPN</t>
  </si>
  <si>
    <t>Server: itekniaapp.serveftp.com:4443</t>
  </si>
  <si>
    <t>itkvicente</t>
  </si>
  <si>
    <t>ItkVicente.*</t>
  </si>
  <si>
    <t>En configuración / VPN se conecta, maquina de Linux.</t>
  </si>
  <si>
    <t>WIFI</t>
  </si>
  <si>
    <t>Conexión WI-FI</t>
  </si>
  <si>
    <t>ITK_WRLSS</t>
  </si>
  <si>
    <t>Iteknia2391.*</t>
  </si>
  <si>
    <t>MI NOMINA</t>
  </si>
  <si>
    <t>SERVER 141 MULIIX-API / MINOMINA</t>
  </si>
  <si>
    <t>734 667 434</t>
  </si>
  <si>
    <t>Lakxy2019.</t>
  </si>
  <si>
    <t>Servidor de la aplicación Mi Nomina.
Admin =&gt; Iteknia2016.</t>
  </si>
  <si>
    <t>EDUARDO MACIAS</t>
  </si>
  <si>
    <t>App Mi Nomina</t>
  </si>
  <si>
    <t>055</t>
  </si>
  <si>
    <t>iteknia2022</t>
  </si>
  <si>
    <t>Usuario Mi Nomina</t>
  </si>
  <si>
    <t>http://itekniaapp.serveftp.com/</t>
  </si>
  <si>
    <t>Iteknia2020@dmin</t>
  </si>
  <si>
    <t>http://192.168.0.120:8085/</t>
  </si>
  <si>
    <t>MULIIX – ITEKNIA</t>
  </si>
  <si>
    <t>http://itekniaapp.serveftp.com:8085/</t>
  </si>
  <si>
    <t>Muliix Productivo.</t>
  </si>
  <si>
    <t>192.168.0.19:8085</t>
  </si>
  <si>
    <t>Muliix Productivo. Forma Local.</t>
  </si>
  <si>
    <t>sudo ssh itksysadmin@192.168.0.19</t>
  </si>
  <si>
    <t>adminItk456</t>
  </si>
  <si>
    <t>MULIIX – QA</t>
  </si>
  <si>
    <t>http://itekniaapp.serveftp.com:8086/</t>
  </si>
  <si>
    <t>Muliix QA Pruebas</t>
  </si>
  <si>
    <t>192.168.0.173:8085</t>
  </si>
  <si>
    <t>Muliix QA Pruebas. Forma Local.</t>
  </si>
  <si>
    <t>SERVIDOR – COMERCIALIZADORA</t>
  </si>
  <si>
    <t>ssh comersysadmin@192.168.0.120</t>
  </si>
  <si>
    <t>comersysadmin</t>
  </si>
  <si>
    <t>adminCom456</t>
  </si>
  <si>
    <t>NAS</t>
  </si>
  <si>
    <t>IP: 192.168.0.210</t>
  </si>
  <si>
    <t>VICENTE_CUEVA</t>
  </si>
  <si>
    <t>Iteknia2010</t>
  </si>
  <si>
    <t>smb://192.168.0.210</t>
  </si>
  <si>
    <t>FORMATO CONTABILIDAD</t>
  </si>
  <si>
    <t>https://github.com/vcuevar</t>
  </si>
  <si>
    <t>92bfcb6419c4e8e070fa5c324dc6f9c6dd8bd0cf</t>
  </si>
  <si>
    <t>MEET</t>
  </si>
  <si>
    <t>https://meet.google.com/fzw-uwqu-utd</t>
  </si>
  <si>
    <t>Usar este link para conectarme a sesiones con mi cuenta</t>
  </si>
  <si>
    <t>Maria Isabel</t>
  </si>
  <si>
    <t>00992</t>
  </si>
  <si>
    <t>Autorizar Nominas.</t>
  </si>
  <si>
    <t>Juan Pablo</t>
  </si>
  <si>
    <t>00391</t>
  </si>
  <si>
    <t>iteknia2025</t>
  </si>
  <si>
    <t>https://gitlab.com/Muliix/muliix-iteknia</t>
  </si>
  <si>
    <t>MULIIX</t>
  </si>
  <si>
    <t xml:space="preserve"> itk.reportik@gmail.com</t>
  </si>
  <si>
    <t>adminItk$</t>
  </si>
  <si>
    <t>Repositorio para Muliix</t>
  </si>
  <si>
    <t>INVTEK</t>
  </si>
  <si>
    <t>IP: 192.168.0.192</t>
  </si>
  <si>
    <t>http://iteknia.serveftp.com:8080</t>
  </si>
  <si>
    <t>DUOLINGO</t>
  </si>
  <si>
    <t>https://www.duolingo.com/?isLoggingIn=true</t>
  </si>
  <si>
    <t>Vicente_Cueva</t>
  </si>
  <si>
    <t>SIZ</t>
  </si>
  <si>
    <t>777</t>
  </si>
  <si>
    <t>Usuario de Costos - Diseño</t>
  </si>
  <si>
    <t>http://187.189.177.39:8082/siz_sa/public/auth/login</t>
  </si>
  <si>
    <t>246</t>
  </si>
  <si>
    <t>Usuario de Sistemas</t>
  </si>
  <si>
    <t>Servidor de Correos Zarkin</t>
  </si>
  <si>
    <t>http://webmail.zarkin.com/index.php/admin/index/logout</t>
  </si>
  <si>
    <t>adalberto.ramos</t>
  </si>
  <si>
    <t>Ei$0fQ@7!</t>
  </si>
  <si>
    <t>Administrador de correos Zarkin.</t>
  </si>
  <si>
    <t>Iteknia Linux</t>
  </si>
  <si>
    <t>401 880 473</t>
  </si>
  <si>
    <t>Maquina que uso para Iteknia.</t>
  </si>
  <si>
    <t>vicente.cueva@zarkin.com</t>
  </si>
  <si>
    <t>fX)YjO</t>
  </si>
  <si>
    <t>Correo Zarkin. Tenia victoria cambio Nico, porque instalo en Escritorio Remoto.</t>
  </si>
  <si>
    <t>ESCRITORIO REMOTO</t>
  </si>
  <si>
    <t>187.189.177.39:1013</t>
  </si>
  <si>
    <t>sistema2</t>
  </si>
  <si>
    <t>Dominio: Workgroup</t>
  </si>
  <si>
    <t xml:space="preserve"> http://login.microsoftonline.com</t>
  </si>
  <si>
    <t>it.due@zarkin.onmicrosoft.com</t>
  </si>
  <si>
    <t>Cuenta para Oficce 365 que traigo asignada.</t>
  </si>
  <si>
    <t>SISTEMAS</t>
  </si>
  <si>
    <t>1000</t>
  </si>
  <si>
    <t>S1000</t>
  </si>
  <si>
    <t>SAP 8</t>
  </si>
  <si>
    <t>Escritorio Remoto</t>
  </si>
  <si>
    <t>manager</t>
  </si>
  <si>
    <t>aqnlaaepp</t>
  </si>
  <si>
    <t>Confirmada el 28 de Mayo del 2019.</t>
  </si>
  <si>
    <t>nicovi2019</t>
  </si>
  <si>
    <t>Se cambio por posible urto de contraseña. 19/Jul/19</t>
  </si>
  <si>
    <t>Sistema de Reporteria VB.</t>
  </si>
  <si>
    <t>\\ZARKIN-088</t>
  </si>
  <si>
    <t>Administrador  </t>
  </si>
  <si>
    <t>Zarkin@2016</t>
  </si>
  <si>
    <t>Faltante de Embarcar.</t>
  </si>
  <si>
    <t>Server ZARKIN-088</t>
  </si>
  <si>
    <t>187.189.177.39:1014</t>
  </si>
  <si>
    <t>Sistemas1014\SISTEMA2</t>
  </si>
  <si>
    <t>Se aplico SAP 10 para poder usar con REMINA Linux.</t>
  </si>
  <si>
    <t>USUARIO VICENTE</t>
  </si>
  <si>
    <t>SISTEMA2</t>
  </si>
  <si>
    <t>USUARIO SAP MANAGER</t>
  </si>
  <si>
    <t>Sap@2020</t>
  </si>
  <si>
    <t>Envio Miguel el 04/Noviembre/2020</t>
  </si>
  <si>
    <t>SERVIDOR DEL CHECADOR</t>
  </si>
  <si>
    <t xml:space="preserve">1 135 874 551 </t>
  </si>
  <si>
    <t>muliix700</t>
  </si>
  <si>
    <t>Equipo donde esta sistema checador.</t>
  </si>
  <si>
    <t>Mediante Any y en el equipo en Navegador WEB</t>
  </si>
  <si>
    <t>http://127.0.0.1</t>
  </si>
  <si>
    <t xml:space="preserve">CORREO </t>
  </si>
  <si>
    <t>zarkinsoporte@gmail.com</t>
  </si>
  <si>
    <t>Gmail.com</t>
  </si>
  <si>
    <t>Usado en SIZ</t>
  </si>
  <si>
    <t>Zarkin.com</t>
  </si>
  <si>
    <t>sistemas@zarkin.com</t>
  </si>
  <si>
    <t>Correo Generico uso por Sistemas.</t>
  </si>
  <si>
    <t>Usuario Oddo/</t>
  </si>
  <si>
    <t>Victoria%77</t>
  </si>
  <si>
    <t>GITLAB</t>
  </si>
  <si>
    <t>https://gitlab</t>
  </si>
  <si>
    <t>ID: 27654524</t>
  </si>
  <si>
    <t>MACROS</t>
  </si>
  <si>
    <t>Apertura de Macros estan en solo lecturas.</t>
  </si>
  <si>
    <t>SAL2019</t>
  </si>
  <si>
    <t xml:space="preserve">Para Editar en el Excel </t>
  </si>
  <si>
    <t>Escritorio con Win 8</t>
  </si>
  <si>
    <t>https://webmail.gestiondecorreo.com/login</t>
  </si>
  <si>
    <t>http://itekniaapp.serveftp.com:8080/inicio</t>
  </si>
  <si>
    <t>http://itekniaapp.serveftp.com:8080/opciones</t>
  </si>
  <si>
    <t>Opciones para Cotizaciones</t>
  </si>
  <si>
    <t>itk.reportik@gmail.com</t>
  </si>
  <si>
    <t>Usuario Cliente Cotizador y Tienda</t>
  </si>
  <si>
    <t>Servidor del Proyecto, por Anydesk</t>
  </si>
  <si>
    <t>193 655 515</t>
  </si>
  <si>
    <t>Zarkin11</t>
  </si>
  <si>
    <t>Productivo de SIZ</t>
  </si>
  <si>
    <t>PIN (Contraseña de Windows es nada)</t>
  </si>
  <si>
    <t>C:\Users\SISTEMA2\Documents\Archivos de Outlook</t>
  </si>
  <si>
    <t>Vicente Cueva Ramirez - SISTEMA2</t>
  </si>
  <si>
    <t>Base de Datos de Outlook</t>
  </si>
  <si>
    <t>Escritorio 1013</t>
  </si>
  <si>
    <t>LAPTOP</t>
  </si>
  <si>
    <t>SOPORTESAP</t>
  </si>
  <si>
    <t>Zarkin2024</t>
  </si>
  <si>
    <t xml:space="preserve">Vicente </t>
  </si>
  <si>
    <t>PIN</t>
  </si>
  <si>
    <t>USUARIOS LAPTOP DE ZARKIN</t>
  </si>
  <si>
    <t>Ingreso con Gogle.</t>
  </si>
  <si>
    <t>Acceso para usuario Zarkin
Preguntas Secretas:
Nombre de Mascota = 1
Nombre donde naciste = 2
Sobre nombre infancia = 3</t>
  </si>
  <si>
    <t>Banca Movil Celular 33-1628-5655</t>
  </si>
  <si>
    <t>150988vy</t>
  </si>
  <si>
    <t>Banca Movil Celular 33-3584-1822</t>
  </si>
  <si>
    <t>SIZ SERVIDOR</t>
  </si>
  <si>
    <t>POR ANYDESK</t>
  </si>
  <si>
    <t>@cc3s0*2025</t>
  </si>
  <si>
    <t>SQL (SAP)</t>
  </si>
  <si>
    <t>ZARKIN-088 (10.63.100.8)</t>
  </si>
  <si>
    <t xml:space="preserve">sa          </t>
  </si>
  <si>
    <t>Parche SAP 10 FP 2008</t>
  </si>
  <si>
    <t>Menssager</t>
  </si>
  <si>
    <t>Pin 475869</t>
  </si>
  <si>
    <t>Con la FIEL / Ingresar a Buzon Tributario</t>
  </si>
  <si>
    <t>LINKEDIN</t>
  </si>
  <si>
    <t>https://www.linkedin.com/</t>
  </si>
  <si>
    <t>SIZ SERV. NEW</t>
  </si>
  <si>
    <t>159 692 531 3</t>
  </si>
  <si>
    <t>Zarkin*2025</t>
  </si>
  <si>
    <t>WINDOWS</t>
  </si>
  <si>
    <t>Administrador</t>
  </si>
  <si>
    <t>Zarkin@2025</t>
  </si>
  <si>
    <t>Nuevo Servidor</t>
  </si>
  <si>
    <t>Proporciono Nicolas a Alberto.</t>
  </si>
  <si>
    <t>790</t>
  </si>
  <si>
    <t>7777</t>
  </si>
  <si>
    <t>USUARIO PRUEBAS DE CALIDAD</t>
  </si>
  <si>
    <t>https://www.udemy.com/</t>
  </si>
  <si>
    <t>UDEMY</t>
  </si>
  <si>
    <t>http://187.189.177.39:8085/siz_sa/public/home</t>
  </si>
  <si>
    <t>Puerto habilitado para Nuevo SIZ.</t>
  </si>
  <si>
    <t>Proporciono Nicolas a Alberto. Para pruebas y Productivo.</t>
  </si>
  <si>
    <t>https://www.digitalife.com.mx/</t>
  </si>
  <si>
    <t>DIGITAL LIFE</t>
  </si>
  <si>
    <t>Equipos y Piezas de computación.</t>
  </si>
  <si>
    <t>https://docs.google.com/spreadsheets/d/1ossNWgH0Ln90W-Lbj2PPYoHkuX9-lRro/edit?usp=sharing&amp;ouid=113773091461979829861&amp;rtpof=true&amp;sd=true</t>
  </si>
  <si>
    <t>COMPARTIDO</t>
  </si>
  <si>
    <t>Archivo de Planeación</t>
  </si>
  <si>
    <t>FARMACIA</t>
  </si>
  <si>
    <t>https://www.farmaciasguadalajara.com/</t>
  </si>
  <si>
    <t>No. de Tarjeta: 114208026</t>
  </si>
  <si>
    <t>NIP: 2387 </t>
  </si>
  <si>
    <t>Validar si aun esta vigente</t>
  </si>
  <si>
    <t xml:space="preserve"> www.primeraplus.com.mx </t>
  </si>
  <si>
    <t>VIAJERO FRECUENTE</t>
  </si>
  <si>
    <t>ZRK_DCCONTROLER</t>
  </si>
  <si>
    <t xml:space="preserve">SAP 10, Primer servidor </t>
  </si>
  <si>
    <t>Server ZARKIN-121</t>
  </si>
  <si>
    <t>New Servidor SAP 10.</t>
  </si>
  <si>
    <t>http://webmail.zarkin.com/</t>
  </si>
  <si>
    <t>Gloria&amp;200715</t>
  </si>
  <si>
    <t>200715 Autorización, NIP 6362</t>
  </si>
  <si>
    <t>CLABE: 12 7320 0136 8074 8002</t>
  </si>
  <si>
    <t>Guardadito: 70341368074800</t>
  </si>
  <si>
    <t>RFC</t>
  </si>
  <si>
    <t>SASY630616CE0</t>
  </si>
  <si>
    <t>CURP</t>
  </si>
  <si>
    <t>SASY630616MJCNNL13</t>
  </si>
  <si>
    <t>INE</t>
  </si>
  <si>
    <t>2588014312</t>
  </si>
  <si>
    <t>Cotizador de Cortinas (anterior iteknia2025)</t>
  </si>
  <si>
    <t>invtek2025</t>
  </si>
  <si>
    <t>Tapaporo para muros, o sellador vinilico.</t>
  </si>
  <si>
    <t>LTS</t>
  </si>
  <si>
    <t>AGUA</t>
  </si>
  <si>
    <t>KG.</t>
  </si>
  <si>
    <t>CAOLIN</t>
  </si>
  <si>
    <t>SELLADOR VINILICO CASTHER.</t>
  </si>
  <si>
    <t>PINTURA TONAL DE CASTHER.</t>
  </si>
  <si>
    <t>UDM</t>
  </si>
  <si>
    <t>CANT</t>
  </si>
  <si>
    <t>MATERIAL</t>
  </si>
  <si>
    <t>PORC.</t>
  </si>
  <si>
    <t>PARA:</t>
  </si>
  <si>
    <t>TAPAPORO</t>
  </si>
  <si>
    <t>https://secure.logmein.com/hamachi/ih1.asp?lang=en&amp;c=xslnvw8hrn6m4q40rz0d91onps5fwkltc6qt7luo</t>
  </si>
  <si>
    <t>VPN ZarkinDesarrollo</t>
  </si>
  <si>
    <t>ZarkinVPN11#</t>
  </si>
  <si>
    <t>HAMACHI</t>
  </si>
  <si>
    <t>Se realizo en la Parroquia del Sagrado Nombre de Jesus.</t>
  </si>
  <si>
    <t>Fechas para relacion con Archivo de Fotografias</t>
  </si>
  <si>
    <t>Alños</t>
  </si>
  <si>
    <t>Fallecimiento: Vicente Cueva Toscano.</t>
  </si>
  <si>
    <t>Boda: Vicente Cueva Toscano y Eloisa Ramirez Peña.</t>
  </si>
  <si>
    <t>En San Martin a las 11 hrs, Pbro. Jose de Jesus Jimenez. (Eloisa Hernandez).</t>
  </si>
  <si>
    <t>Nacimiento: de Vicente Cueva Ramirez</t>
  </si>
  <si>
    <t>Hospital Fray Antonio Alcalde a las 20:30 hrs.</t>
  </si>
  <si>
    <t>Nacimiento: Eloisa Ramirez Peña.</t>
  </si>
  <si>
    <t>Defuncion: Eloisa Ramirez Peña.</t>
  </si>
  <si>
    <t>Hospital Justo Sierrea a las 9:20 pm</t>
  </si>
  <si>
    <t>Matrimonio: Vicente Cueva Ramirez y Maria Yolanda Sanchez Santillan.</t>
  </si>
  <si>
    <t>Registro 9, Isidro Alferez Espinosa.</t>
  </si>
  <si>
    <t>Nacimiento: Maria Yolanda Sanchez Santillan.</t>
  </si>
  <si>
    <t>Primera Comunion: Ana Eloisa Cueva Ramirez.</t>
  </si>
  <si>
    <t>Boda: Vicente Cueva Ramirez y Maria Yolanda Sanchez Santillan.</t>
  </si>
  <si>
    <t>Nacimiento: Jose Emanuel Cueva Sanchez.</t>
  </si>
  <si>
    <t>https://www.sat.gob.mx/portal/public/home</t>
  </si>
  <si>
    <t>BIENESTAR</t>
  </si>
  <si>
    <t>Banco del Bienestar</t>
  </si>
  <si>
    <t>Tarjeta 5261 9601 7736 7842</t>
  </si>
  <si>
    <t>Mauricio63</t>
  </si>
  <si>
    <t>Centro Medico A LAS 5:30 PM</t>
  </si>
  <si>
    <t>Hospital Fray Antonio Alcalde A LAS 7:00 AM.</t>
  </si>
  <si>
    <t>Defuncion: Irma Rebeca Cueva Ramirez,</t>
  </si>
  <si>
    <t>ISSSTE Zapopan a las 9:04 am</t>
  </si>
  <si>
    <t>Titulo de Propiedad Funerl Colonias (Gayosso)</t>
  </si>
  <si>
    <t>E-V-18 (Calle San Jose)</t>
  </si>
  <si>
    <t>A titulo de Sr. Vicente Cueva Toscano.</t>
  </si>
  <si>
    <t>Sepultura: Sra. Olivia Cueva Toscano.</t>
  </si>
  <si>
    <t>No. 1325C</t>
  </si>
  <si>
    <t>No. 2344HC</t>
  </si>
  <si>
    <t>Sepultura: Sr. Vicente Cueva Alvarez.</t>
  </si>
  <si>
    <t>Sepultura: Rosa Maria Cueva Toscano.</t>
  </si>
  <si>
    <t>No. 3103HC</t>
  </si>
  <si>
    <t>GAVETA 1 (47 años).</t>
  </si>
  <si>
    <t>GAVETA 2 (82 años)</t>
  </si>
  <si>
    <t>GAVETA 3 (60 años)</t>
  </si>
  <si>
    <t>Sepultura: Vicente Cueva Tocano.</t>
  </si>
  <si>
    <t>No. U-0142</t>
  </si>
  <si>
    <t>GAVETA 4 (57 años)</t>
  </si>
  <si>
    <t>Sepultura: Teresa Toscano Vda. De Cueva.</t>
  </si>
  <si>
    <t>No. 337/93</t>
  </si>
  <si>
    <t>GAVETA 5 (90 años)</t>
  </si>
  <si>
    <t>Primera Comunion: Yolanda Isabel Cueva Ramirez.</t>
  </si>
  <si>
    <t>Templo Capilla de Jesus a las 12:00 hrs Madrina: Angelica Solorio de Reyes.</t>
  </si>
  <si>
    <t>Primera Comunion: Irma Rebeca Cueva Ramirez.</t>
  </si>
  <si>
    <t>Templo Capilla de Jesus a las 19:00 hrs Madrina: Ma. Emma Toscano de Ordorica.</t>
  </si>
  <si>
    <t>GOOGLE</t>
  </si>
  <si>
    <t>AT &amp; T</t>
  </si>
  <si>
    <t xml:space="preserve">APLICACIÓN </t>
  </si>
  <si>
    <t>NIP 1509 CLABE: 16 6320 0221 6332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</si>
</sst>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\-dd\-mmm\-yy"/>
    <numFmt numFmtId="165" formatCode="[$-F800]dddd\,\ mmmm\ dd\,\ yyyy"/>
    <numFmt numFmtId="166" formatCode="0.0%"/>
  </numFmts>
  <fonts count="19" x14ac:knownFonts="1">
    <font>
      <sz val="12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2"/>
      <color theme="10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  <font>
      <sz val="14"/>
      <color theme="1"/>
      <name val="Calibri"/>
      <family val="2"/>
    </font>
    <font>
      <sz val="16"/>
      <color rgb="FF0000FF"/>
      <name val="Arial"/>
      <family val="2"/>
    </font>
    <font>
      <b/>
      <sz val="18"/>
      <color theme="1"/>
      <name val="Arial"/>
      <family val="2"/>
    </font>
    <font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rgb="FFD9D9D9"/>
      <name val="Calibri"/>
      <family val="2"/>
    </font>
    <font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Arial"/>
      <family val="2"/>
    </font>
    <font>
      <b/>
      <sz val="12"/>
      <color rgb="FFFF006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66"/>
        <bgColor rgb="FFCCFF6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dotted">
        <color rgb="FF660066"/>
      </left>
      <right style="dotted">
        <color rgb="FF660066"/>
      </right>
      <top style="dotted">
        <color rgb="FF660066"/>
      </top>
      <bottom style="dotted">
        <color rgb="FF660066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14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6" fillId="0" borderId="0" xfId="0" applyNumberFormat="1" applyFont="1"/>
    <xf numFmtId="164" fontId="6" fillId="0" borderId="0" xfId="0" applyNumberFormat="1" applyFont="1" applyAlignment="1">
      <alignment horizontal="center"/>
    </xf>
    <xf numFmtId="165" fontId="6" fillId="0" borderId="0" xfId="0" applyNumberFormat="1" applyFont="1"/>
    <xf numFmtId="0" fontId="1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1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5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3" fillId="0" borderId="1" xfId="1" applyNumberFormat="1" applyBorder="1" applyAlignment="1">
      <alignment horizontal="center" vertical="center"/>
    </xf>
    <xf numFmtId="0" fontId="3" fillId="0" borderId="1" xfId="1" applyFill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1" applyNumberFormat="1" applyFill="1" applyBorder="1" applyAlignment="1">
      <alignment horizontal="left" vertical="center"/>
    </xf>
    <xf numFmtId="49" fontId="3" fillId="0" borderId="1" xfId="1" applyNumberForma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49" fontId="3" fillId="0" borderId="1" xfId="1" applyNumberFormat="1" applyBorder="1" applyAlignment="1">
      <alignment horizontal="left" vertical="center"/>
    </xf>
    <xf numFmtId="15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left" vertical="center"/>
    </xf>
    <xf numFmtId="49" fontId="3" fillId="3" borderId="1" xfId="1" applyNumberForma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left" vertical="center"/>
    </xf>
    <xf numFmtId="15" fontId="1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5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15" fontId="1" fillId="0" borderId="0" xfId="0" applyNumberFormat="1" applyFont="1" applyAlignment="1">
      <alignment horizontal="center"/>
    </xf>
    <xf numFmtId="15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11" fillId="0" borderId="0" xfId="2" applyNumberFormat="1" applyFont="1" applyAlignment="1">
      <alignment horizontal="center" vertical="center"/>
    </xf>
    <xf numFmtId="166" fontId="6" fillId="0" borderId="0" xfId="2" applyNumberFormat="1" applyFont="1" applyAlignment="1">
      <alignment horizontal="center" vertical="center"/>
    </xf>
    <xf numFmtId="166" fontId="0" fillId="0" borderId="0" xfId="2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2" xfId="2" applyNumberFormat="1" applyFont="1" applyBorder="1" applyAlignment="1">
      <alignment horizontal="center" vertical="center"/>
    </xf>
    <xf numFmtId="15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8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/>
    </xf>
    <xf numFmtId="166" fontId="18" fillId="6" borderId="0" xfId="2" applyNumberFormat="1" applyFont="1" applyFill="1" applyAlignment="1">
      <alignment horizontal="center" vertical="center"/>
    </xf>
    <xf numFmtId="164" fontId="1" fillId="0" borderId="0" xfId="0" applyNumberFormat="1" applyFont="1"/>
    <xf numFmtId="164" fontId="13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2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7" fillId="0" borderId="0" xfId="0" applyFont="1"/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00CC"/>
      <color rgb="FFFF0066"/>
      <color rgb="FFD9D9D9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0</xdr:row>
      <xdr:rowOff>171450</xdr:rowOff>
    </xdr:from>
    <xdr:ext cx="990600" cy="981075"/>
    <xdr:pic>
      <xdr:nvPicPr>
        <xdr:cNvPr id="2" name="image2.png">
          <a:extLst>
            <a:ext uri="{FF2B5EF4-FFF2-40B4-BE49-F238E27FC236}">
              <a16:creationId xmlns:a16="http://schemas.microsoft.com/office/drawing/2014/main" id="{2A431844-F002-4C6D-9161-EC87C70B8D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" y="171450"/>
          <a:ext cx="990600" cy="9810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885825</xdr:colOff>
      <xdr:row>0</xdr:row>
      <xdr:rowOff>85725</xdr:rowOff>
    </xdr:from>
    <xdr:ext cx="990600" cy="981075"/>
    <xdr:pic>
      <xdr:nvPicPr>
        <xdr:cNvPr id="2" name="image2.png">
          <a:extLst>
            <a:ext uri="{FF2B5EF4-FFF2-40B4-BE49-F238E27FC236}">
              <a16:creationId xmlns:a16="http://schemas.microsoft.com/office/drawing/2014/main" id="{9F2E4C80-C931-48A0-BC71-C543191979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85725"/>
          <a:ext cx="990600" cy="9810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885825</xdr:colOff>
      <xdr:row>0</xdr:row>
      <xdr:rowOff>85725</xdr:rowOff>
    </xdr:from>
    <xdr:ext cx="990600" cy="981075"/>
    <xdr:pic>
      <xdr:nvPicPr>
        <xdr:cNvPr id="2" name="image2.png">
          <a:extLst>
            <a:ext uri="{FF2B5EF4-FFF2-40B4-BE49-F238E27FC236}">
              <a16:creationId xmlns:a16="http://schemas.microsoft.com/office/drawing/2014/main" id="{F028B6C6-805F-42B4-B5AB-62B5C78A249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85725"/>
          <a:ext cx="990600" cy="9810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885825</xdr:colOff>
      <xdr:row>0</xdr:row>
      <xdr:rowOff>85725</xdr:rowOff>
    </xdr:from>
    <xdr:ext cx="990600" cy="981075"/>
    <xdr:pic>
      <xdr:nvPicPr>
        <xdr:cNvPr id="2" name="image2.png">
          <a:extLst>
            <a:ext uri="{FF2B5EF4-FFF2-40B4-BE49-F238E27FC236}">
              <a16:creationId xmlns:a16="http://schemas.microsoft.com/office/drawing/2014/main" id="{C25BB99D-F487-4BEE-A55B-A7C6D24D3E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85725"/>
          <a:ext cx="990600" cy="9810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885825</xdr:colOff>
      <xdr:row>0</xdr:row>
      <xdr:rowOff>85725</xdr:rowOff>
    </xdr:from>
    <xdr:ext cx="990600" cy="981075"/>
    <xdr:pic>
      <xdr:nvPicPr>
        <xdr:cNvPr id="2" name="image2.png">
          <a:extLst>
            <a:ext uri="{FF2B5EF4-FFF2-40B4-BE49-F238E27FC236}">
              <a16:creationId xmlns:a16="http://schemas.microsoft.com/office/drawing/2014/main" id="{F2E6506A-0B0A-45F3-B40D-4C1756ADD4F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85725"/>
          <a:ext cx="990600" cy="9810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885825</xdr:colOff>
      <xdr:row>0</xdr:row>
      <xdr:rowOff>85725</xdr:rowOff>
    </xdr:from>
    <xdr:ext cx="990600" cy="981075"/>
    <xdr:pic>
      <xdr:nvPicPr>
        <xdr:cNvPr id="2" name="image2.png">
          <a:extLst>
            <a:ext uri="{FF2B5EF4-FFF2-40B4-BE49-F238E27FC236}">
              <a16:creationId xmlns:a16="http://schemas.microsoft.com/office/drawing/2014/main" id="{17139E81-B24B-4740-B498-75EBE26F0F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85725"/>
          <a:ext cx="990600" cy="98107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zarkin-my.sharepoint.com/personal/it_due_zarkin_onmicrosoft_com/Documents/Documentos/ADMON_CHNT/V2%20Chente%202024%20B.xlsx" TargetMode="External"/><Relationship Id="rId1" Type="http://schemas.openxmlformats.org/officeDocument/2006/relationships/externalLinkPath" Target="/personal/it_due_zarkin_onmicrosoft_com/Documents/Documentos/ADMON_CHNT/V2%20Chente%202024%20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zarkin-my.sharepoint.com/personal/it_due_zarkin_onmicrosoft_com/Documents/Documentos/ADMON_CHNT/V2%20Chente%202025.xlsx" TargetMode="External"/><Relationship Id="rId1" Type="http://schemas.openxmlformats.org/officeDocument/2006/relationships/externalLinkPath" Target="/personal/it_due_zarkin_onmicrosoft_com/Documents/Documentos/ADMON_CHNT/V2%20Chent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ENTA"/>
      <sheetName val="DDD"/>
      <sheetName val="PRESUPUESTO"/>
      <sheetName val="RESUMEN"/>
      <sheetName val="DIARIO_2024"/>
      <sheetName val="CATEGORIAS"/>
      <sheetName val="AU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B6" t="str">
            <v>AUTOMOVIL</v>
          </cell>
          <cell r="C6" t="str">
            <v>BANCOS</v>
          </cell>
          <cell r="D6" t="str">
            <v>CAPACITACION</v>
          </cell>
          <cell r="E6" t="str">
            <v>CASA</v>
          </cell>
          <cell r="F6" t="str">
            <v>EXTRAS</v>
          </cell>
          <cell r="G6" t="str">
            <v>INGRESOS</v>
          </cell>
          <cell r="H6" t="str">
            <v>OCIO</v>
          </cell>
          <cell r="I6" t="str">
            <v>PERSONALES</v>
          </cell>
          <cell r="J6" t="str">
            <v>SEMANAL</v>
          </cell>
          <cell r="K6" t="str">
            <v>SERVICIOS</v>
          </cell>
          <cell r="L6" t="str">
            <v>CUE_CON</v>
          </cell>
        </row>
        <row r="8">
          <cell r="C8" t="str">
            <v>ACTINVER</v>
          </cell>
        </row>
        <row r="9">
          <cell r="C9" t="str">
            <v>AZTECA_V</v>
          </cell>
        </row>
        <row r="10">
          <cell r="C10" t="str">
            <v>C_INTERNA</v>
          </cell>
        </row>
        <row r="11">
          <cell r="C11" t="str">
            <v>CAJA</v>
          </cell>
        </row>
        <row r="12">
          <cell r="C12" t="str">
            <v>I_AZTECA</v>
          </cell>
        </row>
        <row r="13">
          <cell r="C13" t="str">
            <v>I_POPULAR</v>
          </cell>
        </row>
        <row r="14">
          <cell r="C14" t="str">
            <v>I_SANTANDER</v>
          </cell>
        </row>
        <row r="15">
          <cell r="C15" t="str">
            <v>II_AZTECA</v>
          </cell>
        </row>
        <row r="16">
          <cell r="C16" t="str">
            <v>III AZTECA</v>
          </cell>
        </row>
        <row r="17">
          <cell r="C17" t="str">
            <v>INV30_AZTECA</v>
          </cell>
        </row>
        <row r="18">
          <cell r="C18" t="str">
            <v>POPULAR_V</v>
          </cell>
        </row>
        <row r="19">
          <cell r="C19" t="str">
            <v>SANTANDER</v>
          </cell>
        </row>
        <row r="20">
          <cell r="C20" t="str">
            <v>VICENTE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"/>
      <sheetName val="CUENTA"/>
      <sheetName val="CATEGORIAS"/>
      <sheetName val="PRESUPUESTO"/>
      <sheetName val="RESUMEN"/>
      <sheetName val="DIARIO_2025"/>
      <sheetName val="SIAPA"/>
      <sheetName val="DDD"/>
      <sheetName val="VACACIONES"/>
      <sheetName val="VIVIENDA"/>
      <sheetName val="TERTIUS"/>
      <sheetName val="V2 Chente 2025"/>
    </sheetNames>
    <sheetDataSet>
      <sheetData sheetId="0"/>
      <sheetData sheetId="1"/>
      <sheetData sheetId="2">
        <row r="6">
          <cell r="B6" t="str">
            <v>AUTOMOVIL</v>
          </cell>
          <cell r="C6" t="str">
            <v>BANCOS</v>
          </cell>
          <cell r="D6" t="str">
            <v>CAPACITACION</v>
          </cell>
          <cell r="E6" t="str">
            <v>CASA</v>
          </cell>
          <cell r="F6" t="str">
            <v>EXTRAS</v>
          </cell>
          <cell r="G6" t="str">
            <v>INGRESOS</v>
          </cell>
          <cell r="H6" t="str">
            <v>OCIO</v>
          </cell>
          <cell r="I6" t="str">
            <v>PERSONALES</v>
          </cell>
          <cell r="J6" t="str">
            <v>SEMANAL</v>
          </cell>
          <cell r="K6" t="str">
            <v>SERVICIOS</v>
          </cell>
          <cell r="L6" t="str">
            <v>CUE_CON</v>
          </cell>
        </row>
        <row r="8">
          <cell r="C8" t="str">
            <v>ACR_EMAN</v>
          </cell>
        </row>
        <row r="9">
          <cell r="C9" t="str">
            <v>B_AZTECA</v>
          </cell>
        </row>
        <row r="10">
          <cell r="C10" t="str">
            <v>B_CAJA</v>
          </cell>
        </row>
        <row r="11">
          <cell r="C11" t="str">
            <v>B_POPULAR</v>
          </cell>
        </row>
        <row r="12">
          <cell r="C12" t="str">
            <v>B_SANTANDER</v>
          </cell>
        </row>
        <row r="13">
          <cell r="C13" t="str">
            <v>B_VICENTE</v>
          </cell>
        </row>
        <row r="14">
          <cell r="C14" t="str">
            <v>INV_POPULAR</v>
          </cell>
        </row>
        <row r="15">
          <cell r="C15" t="str">
            <v>INV_SANTANDER</v>
          </cell>
        </row>
        <row r="16">
          <cell r="C16" t="str">
            <v>INV30_AZTECA</v>
          </cell>
        </row>
        <row r="17">
          <cell r="C17" t="str">
            <v>PLAZ28_AZTECA</v>
          </cell>
        </row>
        <row r="18">
          <cell r="C18" t="str">
            <v>PLAZ91_AZTECA</v>
          </cell>
        </row>
        <row r="19">
          <cell r="C19" t="str">
            <v>PLAZ92_AZTECA</v>
          </cell>
        </row>
        <row r="20">
          <cell r="C20" t="str">
            <v>TARJETA_TREN</v>
          </cell>
        </row>
      </sheetData>
      <sheetData sheetId="3"/>
      <sheetData sheetId="4"/>
      <sheetData sheetId="5">
        <row r="4">
          <cell r="J4">
            <v>21374.18</v>
          </cell>
        </row>
      </sheetData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etflix.com/" TargetMode="External"/><Relationship Id="rId18" Type="http://schemas.openxmlformats.org/officeDocument/2006/relationships/hyperlink" Target="https://www.tiktok.com/" TargetMode="External"/><Relationship Id="rId26" Type="http://schemas.openxmlformats.org/officeDocument/2006/relationships/hyperlink" Target="mailto:vcuevar@gmail.com" TargetMode="External"/><Relationship Id="rId3" Type="http://schemas.openxmlformats.org/officeDocument/2006/relationships/hyperlink" Target="mailto:vcuevar@gmail.com" TargetMode="External"/><Relationship Id="rId21" Type="http://schemas.openxmlformats.org/officeDocument/2006/relationships/hyperlink" Target="https://www.chat.openai.com/" TargetMode="External"/><Relationship Id="rId34" Type="http://schemas.openxmlformats.org/officeDocument/2006/relationships/drawing" Target="../drawings/drawing2.xml"/><Relationship Id="rId7" Type="http://schemas.openxmlformats.org/officeDocument/2006/relationships/hyperlink" Target="http://www.instagram.com/" TargetMode="External"/><Relationship Id="rId12" Type="http://schemas.openxmlformats.org/officeDocument/2006/relationships/hyperlink" Target="https://www.bancoazteca.com.mx/" TargetMode="External"/><Relationship Id="rId17" Type="http://schemas.openxmlformats.org/officeDocument/2006/relationships/hyperlink" Target="https://www.siapa.gob.mx/reciboenlinea" TargetMode="External"/><Relationship Id="rId25" Type="http://schemas.openxmlformats.org/officeDocument/2006/relationships/hyperlink" Target="mailto:vcuevar@gmail.com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https://cajasanrafael.turbopacmx.com/ConsultaDeSocios/" TargetMode="External"/><Relationship Id="rId16" Type="http://schemas.openxmlformats.org/officeDocument/2006/relationships/hyperlink" Target="https://www.santander.com.mx/" TargetMode="External"/><Relationship Id="rId20" Type="http://schemas.openxmlformats.org/officeDocument/2006/relationships/hyperlink" Target="mailto:vcuevar@gmail.com" TargetMode="External"/><Relationship Id="rId29" Type="http://schemas.openxmlformats.org/officeDocument/2006/relationships/hyperlink" Target="mailto:vcuevar@hotmail.com" TargetMode="External"/><Relationship Id="rId1" Type="http://schemas.openxmlformats.org/officeDocument/2006/relationships/hyperlink" Target="https://app.cfe.mx/Aplicaciones/CCFE/MiEspacio/Login.aspx" TargetMode="External"/><Relationship Id="rId6" Type="http://schemas.openxmlformats.org/officeDocument/2006/relationships/hyperlink" Target="mailto:vcuevar@gmail.com" TargetMode="External"/><Relationship Id="rId11" Type="http://schemas.openxmlformats.org/officeDocument/2006/relationships/hyperlink" Target="https://zoom.us/" TargetMode="External"/><Relationship Id="rId24" Type="http://schemas.openxmlformats.org/officeDocument/2006/relationships/hyperlink" Target="mailto:vcuevar@hotmail.com" TargetMode="External"/><Relationship Id="rId32" Type="http://schemas.openxmlformats.org/officeDocument/2006/relationships/hyperlink" Target="mailto:vcuevar@gmail.com" TargetMode="External"/><Relationship Id="rId5" Type="http://schemas.openxmlformats.org/officeDocument/2006/relationships/hyperlink" Target="https://hub.docker.com/signup" TargetMode="External"/><Relationship Id="rId15" Type="http://schemas.openxmlformats.org/officeDocument/2006/relationships/hyperlink" Target="https://www.siapa.gob.mx/reciboenlinea" TargetMode="External"/><Relationship Id="rId23" Type="http://schemas.openxmlformats.org/officeDocument/2006/relationships/hyperlink" Target="https://telmex.com/web/hogar" TargetMode="External"/><Relationship Id="rId28" Type="http://schemas.openxmlformats.org/officeDocument/2006/relationships/hyperlink" Target="https://gitlab/" TargetMode="External"/><Relationship Id="rId36" Type="http://schemas.openxmlformats.org/officeDocument/2006/relationships/comments" Target="../comments1.xml"/><Relationship Id="rId10" Type="http://schemas.openxmlformats.org/officeDocument/2006/relationships/hyperlink" Target="https://acreditados.tertius.com.mx/acceso/tertius" TargetMode="External"/><Relationship Id="rId19" Type="http://schemas.openxmlformats.org/officeDocument/2006/relationships/hyperlink" Target="https://www.netflix.com/" TargetMode="External"/><Relationship Id="rId31" Type="http://schemas.openxmlformats.org/officeDocument/2006/relationships/hyperlink" Target="https://www.udemy.com/" TargetMode="External"/><Relationship Id="rId4" Type="http://schemas.openxmlformats.org/officeDocument/2006/relationships/hyperlink" Target="mailto:vcuevar@hotmail.com" TargetMode="External"/><Relationship Id="rId9" Type="http://schemas.openxmlformats.org/officeDocument/2006/relationships/hyperlink" Target="https://telmex.com/web/negocios" TargetMode="External"/><Relationship Id="rId14" Type="http://schemas.openxmlformats.org/officeDocument/2006/relationships/hyperlink" Target="mailto:joseemanuelc@gmail.com" TargetMode="External"/><Relationship Id="rId22" Type="http://schemas.openxmlformats.org/officeDocument/2006/relationships/hyperlink" Target="mailto:vcuevar@gmail.com" TargetMode="External"/><Relationship Id="rId27" Type="http://schemas.openxmlformats.org/officeDocument/2006/relationships/hyperlink" Target="mailto:vcuevar@hotmail.com" TargetMode="External"/><Relationship Id="rId30" Type="http://schemas.openxmlformats.org/officeDocument/2006/relationships/hyperlink" Target="mailto:vcuevar@hotmail.com" TargetMode="External"/><Relationship Id="rId35" Type="http://schemas.openxmlformats.org/officeDocument/2006/relationships/vmlDrawing" Target="../drawings/vmlDrawing1.vml"/><Relationship Id="rId8" Type="http://schemas.openxmlformats.org/officeDocument/2006/relationships/hyperlink" Target="mailto:vcuevar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187.189.177.39:8085/siz_sa/public/home" TargetMode="External"/><Relationship Id="rId3" Type="http://schemas.openxmlformats.org/officeDocument/2006/relationships/hyperlink" Target="http://webmail.zarkin.com/index.php/admin/index/logout" TargetMode="External"/><Relationship Id="rId7" Type="http://schemas.openxmlformats.org/officeDocument/2006/relationships/hyperlink" Target="mailto:Zarkin@2025" TargetMode="External"/><Relationship Id="rId2" Type="http://schemas.openxmlformats.org/officeDocument/2006/relationships/hyperlink" Target="mailto:it.duo@zarkin.onmicrosoft.com" TargetMode="External"/><Relationship Id="rId1" Type="http://schemas.openxmlformats.org/officeDocument/2006/relationships/hyperlink" Target="mailto:vcuevar@gmail.com" TargetMode="External"/><Relationship Id="rId6" Type="http://schemas.openxmlformats.org/officeDocument/2006/relationships/hyperlink" Target="mailto:Zarkin@2025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mailto:sistemas@zarkin.com" TargetMode="External"/><Relationship Id="rId10" Type="http://schemas.openxmlformats.org/officeDocument/2006/relationships/hyperlink" Target="http://webmail.zarkin.com/index.php/admin/index/logout" TargetMode="External"/><Relationship Id="rId4" Type="http://schemas.openxmlformats.org/officeDocument/2006/relationships/hyperlink" Target="mailto:zarkinsoporte@gmail.com" TargetMode="External"/><Relationship Id="rId9" Type="http://schemas.openxmlformats.org/officeDocument/2006/relationships/hyperlink" Target="mailto:vicente.cueva@zarkin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itekniaapp.serveftp.com:8080/inicio" TargetMode="External"/><Relationship Id="rId3" Type="http://schemas.openxmlformats.org/officeDocument/2006/relationships/hyperlink" Target="mailto:vcuevar@hotmail.com" TargetMode="External"/><Relationship Id="rId7" Type="http://schemas.openxmlformats.org/officeDocument/2006/relationships/hyperlink" Target="mailto:itk.reportik@gmail.com" TargetMode="External"/><Relationship Id="rId2" Type="http://schemas.openxmlformats.org/officeDocument/2006/relationships/hyperlink" Target="http://127.0.0.1/" TargetMode="External"/><Relationship Id="rId1" Type="http://schemas.openxmlformats.org/officeDocument/2006/relationships/hyperlink" Target="http://iteknia.serveftp.com:8080/" TargetMode="External"/><Relationship Id="rId6" Type="http://schemas.openxmlformats.org/officeDocument/2006/relationships/hyperlink" Target="mailto:itk.reportik@gmail.com" TargetMode="External"/><Relationship Id="rId5" Type="http://schemas.openxmlformats.org/officeDocument/2006/relationships/hyperlink" Target="http://itekniaapp.serveftp.com:8080/opciones" TargetMode="External"/><Relationship Id="rId4" Type="http://schemas.openxmlformats.org/officeDocument/2006/relationships/hyperlink" Target="http://itekniaapp.serveftp.com:8080/inicio" TargetMode="External"/><Relationship Id="rId9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yssantillan@gmal.com" TargetMode="External"/><Relationship Id="rId7" Type="http://schemas.openxmlformats.org/officeDocument/2006/relationships/drawing" Target="../drawings/drawing6.xml"/><Relationship Id="rId2" Type="http://schemas.openxmlformats.org/officeDocument/2006/relationships/hyperlink" Target="https://cajasanrafael.turbopacmx.com/ConsultaDeSocios/" TargetMode="External"/><Relationship Id="rId1" Type="http://schemas.openxmlformats.org/officeDocument/2006/relationships/hyperlink" Target="mailto:myssantillan@gmal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myssantillan@gmal.com" TargetMode="External"/><Relationship Id="rId4" Type="http://schemas.openxmlformats.org/officeDocument/2006/relationships/hyperlink" Target="mailto:myssantillan@gm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C6B0-8656-4FE4-8198-8FB66AA2275D}">
  <sheetPr>
    <tabColor rgb="FFFF0066"/>
  </sheetPr>
  <dimension ref="A1:F106"/>
  <sheetViews>
    <sheetView showGridLines="0" workbookViewId="0">
      <pane ySplit="6" topLeftCell="A7" activePane="bottomLeft" state="frozen"/>
      <selection pane="bottomLeft" activeCell="A7" sqref="A7"/>
    </sheetView>
  </sheetViews>
  <sheetFormatPr baseColWidth="10" defaultRowHeight="15" x14ac:dyDescent="0.2"/>
  <cols>
    <col min="1" max="1" width="3.33203125" customWidth="1"/>
    <col min="2" max="3" width="11.21875" style="69" customWidth="1"/>
    <col min="4" max="4" width="47.21875" customWidth="1"/>
    <col min="5" max="5" width="11.88671875" customWidth="1"/>
    <col min="6" max="6" width="51.88671875" customWidth="1"/>
  </cols>
  <sheetData>
    <row r="1" spans="1:6" ht="15.75" x14ac:dyDescent="0.25">
      <c r="A1" s="2"/>
      <c r="B1" s="66"/>
      <c r="C1" s="66"/>
      <c r="D1" s="2"/>
      <c r="E1" s="2"/>
      <c r="F1" s="2"/>
    </row>
    <row r="2" spans="1:6" ht="23.25" x14ac:dyDescent="0.35">
      <c r="A2" s="2"/>
      <c r="B2" s="71" t="s">
        <v>162</v>
      </c>
      <c r="C2" s="71"/>
      <c r="D2" s="71"/>
      <c r="E2" s="71"/>
      <c r="F2" s="71"/>
    </row>
    <row r="3" spans="1:6" ht="20.25" x14ac:dyDescent="0.3">
      <c r="A3" s="2"/>
      <c r="B3" s="72" t="s">
        <v>473</v>
      </c>
      <c r="C3" s="72"/>
      <c r="D3" s="72"/>
      <c r="E3" s="72"/>
      <c r="F3" s="72"/>
    </row>
    <row r="4" spans="1:6" ht="18.75" x14ac:dyDescent="0.3">
      <c r="A4" s="2"/>
      <c r="B4" s="73">
        <v>45999</v>
      </c>
      <c r="C4" s="73"/>
      <c r="D4" s="73"/>
      <c r="E4" s="73"/>
      <c r="F4" s="73"/>
    </row>
    <row r="5" spans="1:6" ht="18" x14ac:dyDescent="0.25">
      <c r="A5" s="2"/>
      <c r="B5" s="66"/>
      <c r="C5" s="66"/>
      <c r="D5" s="3"/>
      <c r="E5" s="5"/>
      <c r="F5" s="3"/>
    </row>
    <row r="6" spans="1:6" ht="30" x14ac:dyDescent="0.2">
      <c r="A6" s="1"/>
      <c r="B6" s="67" t="s">
        <v>160</v>
      </c>
      <c r="C6" s="67" t="s">
        <v>474</v>
      </c>
      <c r="D6" s="29" t="s">
        <v>158</v>
      </c>
      <c r="E6" s="29" t="s">
        <v>157</v>
      </c>
      <c r="F6" s="29" t="s">
        <v>154</v>
      </c>
    </row>
    <row r="7" spans="1:6" x14ac:dyDescent="0.2">
      <c r="A7" s="1"/>
      <c r="B7" s="68">
        <v>14232</v>
      </c>
      <c r="C7" s="70">
        <f t="shared" ref="C7:C25" si="0">YEARFRAC($B$4,B7)</f>
        <v>86.972222222222229</v>
      </c>
      <c r="D7" s="9" t="s">
        <v>480</v>
      </c>
      <c r="E7" s="10"/>
      <c r="F7" s="13"/>
    </row>
    <row r="8" spans="1:6" x14ac:dyDescent="0.2">
      <c r="A8" s="1"/>
      <c r="B8" s="68">
        <v>22887</v>
      </c>
      <c r="C8" s="70">
        <f t="shared" si="0"/>
        <v>63.274999999999999</v>
      </c>
      <c r="D8" s="9" t="s">
        <v>476</v>
      </c>
      <c r="E8" s="10"/>
      <c r="F8" s="13" t="s">
        <v>477</v>
      </c>
    </row>
    <row r="9" spans="1:6" ht="15.75" x14ac:dyDescent="0.25">
      <c r="A9" s="2"/>
      <c r="B9" s="68">
        <v>23178</v>
      </c>
      <c r="C9" s="70">
        <f t="shared" si="0"/>
        <v>62.477777777777774</v>
      </c>
      <c r="D9" s="9" t="s">
        <v>485</v>
      </c>
      <c r="E9" s="10"/>
      <c r="F9" s="13" t="s">
        <v>495</v>
      </c>
    </row>
    <row r="10" spans="1:6" ht="15.75" x14ac:dyDescent="0.25">
      <c r="A10" s="2"/>
      <c r="B10" s="68">
        <v>23199</v>
      </c>
      <c r="C10" s="70">
        <f t="shared" si="0"/>
        <v>62.419444444444444</v>
      </c>
      <c r="D10" s="9" t="s">
        <v>478</v>
      </c>
      <c r="E10" s="10"/>
      <c r="F10" s="13" t="s">
        <v>479</v>
      </c>
    </row>
    <row r="11" spans="1:6" ht="15.75" x14ac:dyDescent="0.25">
      <c r="A11" s="2"/>
      <c r="B11" s="68">
        <v>27554</v>
      </c>
      <c r="C11" s="70">
        <f t="shared" si="0"/>
        <v>50.49722222222222</v>
      </c>
      <c r="D11" s="9" t="s">
        <v>498</v>
      </c>
      <c r="E11" s="10" t="s">
        <v>499</v>
      </c>
      <c r="F11" s="13" t="s">
        <v>500</v>
      </c>
    </row>
    <row r="12" spans="1:6" ht="15.75" x14ac:dyDescent="0.25">
      <c r="A12" s="2"/>
      <c r="B12" s="68">
        <v>28364</v>
      </c>
      <c r="C12" s="70">
        <f t="shared" si="0"/>
        <v>48.280555555555559</v>
      </c>
      <c r="D12" s="9" t="s">
        <v>516</v>
      </c>
      <c r="E12" s="10"/>
      <c r="F12" s="13" t="s">
        <v>517</v>
      </c>
    </row>
    <row r="13" spans="1:6" ht="15.75" x14ac:dyDescent="0.25">
      <c r="A13" s="2"/>
      <c r="B13" s="68">
        <v>28987</v>
      </c>
      <c r="C13" s="70">
        <f t="shared" si="0"/>
        <v>46.572222222222223</v>
      </c>
      <c r="D13" s="9" t="s">
        <v>501</v>
      </c>
      <c r="E13" s="10" t="s">
        <v>502</v>
      </c>
      <c r="F13" s="13" t="s">
        <v>507</v>
      </c>
    </row>
    <row r="14" spans="1:6" x14ac:dyDescent="0.2">
      <c r="A14" s="1"/>
      <c r="B14" s="68">
        <v>29119</v>
      </c>
      <c r="C14" s="70">
        <f t="shared" si="0"/>
        <v>46.213888888888889</v>
      </c>
      <c r="D14" s="9" t="s">
        <v>518</v>
      </c>
      <c r="E14" s="10"/>
      <c r="F14" s="13" t="s">
        <v>519</v>
      </c>
    </row>
    <row r="15" spans="1:6" x14ac:dyDescent="0.2">
      <c r="A15" s="1"/>
      <c r="B15" s="68">
        <v>31577</v>
      </c>
      <c r="C15" s="70">
        <f t="shared" si="0"/>
        <v>39.483333333333334</v>
      </c>
      <c r="D15" s="9" t="s">
        <v>486</v>
      </c>
      <c r="E15" s="10"/>
      <c r="F15" s="13" t="s">
        <v>472</v>
      </c>
    </row>
    <row r="16" spans="1:6" x14ac:dyDescent="0.2">
      <c r="A16" s="1"/>
      <c r="B16" s="68">
        <v>32172</v>
      </c>
      <c r="C16" s="70">
        <f t="shared" si="0"/>
        <v>37.855555555555554</v>
      </c>
      <c r="D16" s="9" t="s">
        <v>483</v>
      </c>
      <c r="E16" s="10"/>
      <c r="F16" s="13" t="s">
        <v>484</v>
      </c>
    </row>
    <row r="17" spans="1:6" x14ac:dyDescent="0.2">
      <c r="A17" s="1"/>
      <c r="B17" s="68">
        <v>32390</v>
      </c>
      <c r="C17" s="70">
        <f t="shared" si="0"/>
        <v>37.261111111111113</v>
      </c>
      <c r="D17" s="9" t="s">
        <v>504</v>
      </c>
      <c r="E17" s="10" t="s">
        <v>503</v>
      </c>
      <c r="F17" s="13" t="s">
        <v>508</v>
      </c>
    </row>
    <row r="18" spans="1:6" x14ac:dyDescent="0.2">
      <c r="A18" s="1"/>
      <c r="B18" s="68">
        <v>32401</v>
      </c>
      <c r="C18" s="70">
        <f t="shared" si="0"/>
        <v>37.230555555555554</v>
      </c>
      <c r="D18" s="9" t="s">
        <v>487</v>
      </c>
      <c r="E18" s="10"/>
      <c r="F18" s="13"/>
    </row>
    <row r="19" spans="1:6" x14ac:dyDescent="0.2">
      <c r="A19" s="1"/>
      <c r="B19" s="68">
        <v>32653</v>
      </c>
      <c r="C19" s="70">
        <f t="shared" si="0"/>
        <v>36.536111111111111</v>
      </c>
      <c r="D19" s="9" t="s">
        <v>505</v>
      </c>
      <c r="E19" s="10" t="s">
        <v>506</v>
      </c>
      <c r="F19" s="13" t="s">
        <v>509</v>
      </c>
    </row>
    <row r="20" spans="1:6" x14ac:dyDescent="0.2">
      <c r="A20" s="1"/>
      <c r="B20" s="68">
        <v>32710</v>
      </c>
      <c r="C20" s="70">
        <f t="shared" si="0"/>
        <v>36.380555555555553</v>
      </c>
      <c r="D20" s="9" t="s">
        <v>488</v>
      </c>
      <c r="E20" s="10"/>
      <c r="F20" s="13" t="s">
        <v>494</v>
      </c>
    </row>
    <row r="21" spans="1:6" x14ac:dyDescent="0.2">
      <c r="A21" s="1"/>
      <c r="B21" s="68">
        <v>33096</v>
      </c>
      <c r="C21" s="70">
        <f t="shared" si="0"/>
        <v>35.325000000000003</v>
      </c>
      <c r="D21" s="9" t="s">
        <v>475</v>
      </c>
      <c r="E21" s="10"/>
      <c r="F21" s="13"/>
    </row>
    <row r="22" spans="1:6" x14ac:dyDescent="0.2">
      <c r="A22" s="1"/>
      <c r="B22" s="68">
        <v>33097</v>
      </c>
      <c r="C22" s="70">
        <f t="shared" si="0"/>
        <v>35.322222222222223</v>
      </c>
      <c r="D22" s="9" t="s">
        <v>510</v>
      </c>
      <c r="E22" s="10" t="s">
        <v>511</v>
      </c>
      <c r="F22" s="13" t="s">
        <v>512</v>
      </c>
    </row>
    <row r="23" spans="1:6" x14ac:dyDescent="0.2">
      <c r="A23" s="1"/>
      <c r="B23" s="68">
        <v>34121</v>
      </c>
      <c r="C23" s="70">
        <f t="shared" si="0"/>
        <v>32.519444444444446</v>
      </c>
      <c r="D23" s="9" t="s">
        <v>513</v>
      </c>
      <c r="E23" s="10" t="s">
        <v>514</v>
      </c>
      <c r="F23" s="13" t="s">
        <v>515</v>
      </c>
    </row>
    <row r="24" spans="1:6" x14ac:dyDescent="0.2">
      <c r="A24" s="1"/>
      <c r="B24" s="68">
        <v>41039</v>
      </c>
      <c r="C24" s="70">
        <f t="shared" si="0"/>
        <v>13.577777777777778</v>
      </c>
      <c r="D24" s="9" t="s">
        <v>481</v>
      </c>
      <c r="E24" s="10"/>
      <c r="F24" s="13" t="s">
        <v>482</v>
      </c>
    </row>
    <row r="25" spans="1:6" x14ac:dyDescent="0.2">
      <c r="A25" s="1"/>
      <c r="B25" s="68">
        <v>45950</v>
      </c>
      <c r="C25" s="70">
        <f t="shared" si="0"/>
        <v>0.13333333333333333</v>
      </c>
      <c r="D25" s="9" t="s">
        <v>496</v>
      </c>
      <c r="E25" s="10"/>
      <c r="F25" s="13" t="s">
        <v>497</v>
      </c>
    </row>
    <row r="26" spans="1:6" ht="15.75" x14ac:dyDescent="0.25">
      <c r="A26" s="2"/>
      <c r="B26" s="68"/>
      <c r="C26" s="70"/>
      <c r="D26" s="9"/>
      <c r="E26" s="10"/>
      <c r="F26" s="13"/>
    </row>
    <row r="27" spans="1:6" x14ac:dyDescent="0.2">
      <c r="A27" s="1"/>
      <c r="B27" s="68"/>
      <c r="C27" s="70"/>
      <c r="D27" s="9"/>
      <c r="E27" s="10"/>
      <c r="F27" s="13"/>
    </row>
    <row r="28" spans="1:6" x14ac:dyDescent="0.2">
      <c r="A28" s="1"/>
      <c r="B28" s="68"/>
      <c r="C28" s="70"/>
      <c r="D28" s="9"/>
      <c r="E28" s="10"/>
      <c r="F28" s="13"/>
    </row>
    <row r="29" spans="1:6" x14ac:dyDescent="0.2">
      <c r="A29" s="1"/>
      <c r="B29" s="68"/>
      <c r="C29" s="70"/>
      <c r="D29" s="9"/>
      <c r="E29" s="10"/>
      <c r="F29" s="13"/>
    </row>
    <row r="30" spans="1:6" x14ac:dyDescent="0.2">
      <c r="A30" s="1"/>
      <c r="B30" s="68"/>
      <c r="C30" s="70"/>
      <c r="D30" s="9"/>
      <c r="E30" s="10"/>
      <c r="F30" s="13"/>
    </row>
    <row r="31" spans="1:6" x14ac:dyDescent="0.2">
      <c r="A31" s="1"/>
      <c r="B31" s="68"/>
      <c r="C31" s="70"/>
      <c r="D31" s="9"/>
      <c r="E31" s="10"/>
      <c r="F31" s="13"/>
    </row>
    <row r="32" spans="1:6" ht="15.75" x14ac:dyDescent="0.25">
      <c r="A32" s="2"/>
      <c r="B32" s="68"/>
      <c r="C32" s="70"/>
      <c r="D32" s="9"/>
      <c r="E32" s="10"/>
      <c r="F32" s="13"/>
    </row>
    <row r="33" spans="1:6" ht="15.75" x14ac:dyDescent="0.25">
      <c r="A33" s="2"/>
      <c r="B33" s="68"/>
      <c r="C33" s="70"/>
      <c r="D33" s="9"/>
      <c r="E33" s="10"/>
      <c r="F33" s="13"/>
    </row>
    <row r="34" spans="1:6" ht="15.75" x14ac:dyDescent="0.25">
      <c r="A34" s="2"/>
      <c r="B34" s="68"/>
      <c r="C34" s="70"/>
      <c r="D34" s="9"/>
      <c r="E34" s="10"/>
      <c r="F34" s="13"/>
    </row>
    <row r="35" spans="1:6" ht="15.75" x14ac:dyDescent="0.25">
      <c r="A35" s="2"/>
      <c r="B35" s="68"/>
      <c r="C35" s="70"/>
      <c r="D35" s="9"/>
      <c r="E35" s="10"/>
      <c r="F35" s="13"/>
    </row>
    <row r="36" spans="1:6" ht="15.75" x14ac:dyDescent="0.25">
      <c r="A36" s="2"/>
      <c r="B36" s="68"/>
      <c r="C36" s="70"/>
      <c r="D36" s="9"/>
      <c r="E36" s="10"/>
      <c r="F36" s="13"/>
    </row>
    <row r="37" spans="1:6" x14ac:dyDescent="0.2">
      <c r="A37" s="1"/>
      <c r="B37" s="68"/>
      <c r="C37" s="70"/>
      <c r="D37" s="9"/>
      <c r="E37" s="10"/>
      <c r="F37" s="13"/>
    </row>
    <row r="38" spans="1:6" x14ac:dyDescent="0.2">
      <c r="A38" s="1"/>
      <c r="B38" s="68"/>
      <c r="C38" s="70"/>
      <c r="D38" s="9"/>
      <c r="E38" s="10"/>
      <c r="F38" s="13"/>
    </row>
    <row r="39" spans="1:6" x14ac:dyDescent="0.2">
      <c r="A39" s="1"/>
      <c r="B39" s="68"/>
      <c r="C39" s="70"/>
      <c r="D39" s="9"/>
      <c r="E39" s="10"/>
      <c r="F39" s="13"/>
    </row>
    <row r="40" spans="1:6" x14ac:dyDescent="0.2">
      <c r="A40" s="1"/>
      <c r="B40" s="68"/>
      <c r="C40" s="70"/>
      <c r="D40" s="9"/>
      <c r="E40" s="10"/>
      <c r="F40" s="13"/>
    </row>
    <row r="41" spans="1:6" x14ac:dyDescent="0.2">
      <c r="A41" s="1"/>
      <c r="B41" s="68"/>
      <c r="C41" s="70"/>
      <c r="D41" s="9"/>
      <c r="E41" s="10"/>
      <c r="F41" s="13"/>
    </row>
    <row r="42" spans="1:6" x14ac:dyDescent="0.2">
      <c r="A42" s="1"/>
      <c r="B42" s="68"/>
      <c r="C42" s="70"/>
      <c r="D42" s="9"/>
      <c r="E42" s="10"/>
      <c r="F42" s="13"/>
    </row>
    <row r="43" spans="1:6" x14ac:dyDescent="0.2">
      <c r="A43" s="1"/>
      <c r="B43" s="68"/>
      <c r="C43" s="70"/>
      <c r="D43" s="9"/>
      <c r="E43" s="10"/>
      <c r="F43" s="13"/>
    </row>
    <row r="44" spans="1:6" x14ac:dyDescent="0.2">
      <c r="A44" s="1"/>
      <c r="B44" s="68"/>
      <c r="C44" s="70"/>
      <c r="D44" s="9"/>
      <c r="E44" s="10"/>
      <c r="F44" s="13"/>
    </row>
    <row r="45" spans="1:6" x14ac:dyDescent="0.2">
      <c r="A45" s="1"/>
      <c r="B45" s="68"/>
      <c r="C45" s="70"/>
      <c r="D45" s="9"/>
      <c r="E45" s="10"/>
      <c r="F45" s="13"/>
    </row>
    <row r="46" spans="1:6" x14ac:dyDescent="0.2">
      <c r="B46" s="68"/>
      <c r="C46" s="70"/>
      <c r="D46" s="9"/>
      <c r="E46" s="10"/>
      <c r="F46" s="13"/>
    </row>
    <row r="47" spans="1:6" x14ac:dyDescent="0.2">
      <c r="B47" s="68"/>
      <c r="C47" s="70"/>
      <c r="D47" s="9"/>
      <c r="E47" s="10"/>
      <c r="F47" s="13"/>
    </row>
    <row r="48" spans="1:6" x14ac:dyDescent="0.2">
      <c r="B48" s="68"/>
      <c r="C48" s="70"/>
      <c r="D48" s="9"/>
      <c r="E48" s="10"/>
      <c r="F48" s="13"/>
    </row>
    <row r="49" spans="2:6" x14ac:dyDescent="0.2">
      <c r="B49" s="68"/>
      <c r="C49" s="70"/>
      <c r="D49" s="9"/>
      <c r="E49" s="10"/>
      <c r="F49" s="13"/>
    </row>
    <row r="50" spans="2:6" x14ac:dyDescent="0.2">
      <c r="B50" s="68"/>
      <c r="C50" s="70"/>
      <c r="D50" s="9"/>
      <c r="E50" s="10"/>
      <c r="F50" s="13"/>
    </row>
    <row r="51" spans="2:6" x14ac:dyDescent="0.2">
      <c r="B51" s="68"/>
      <c r="C51" s="70"/>
      <c r="D51" s="9"/>
      <c r="E51" s="10"/>
      <c r="F51" s="13"/>
    </row>
    <row r="52" spans="2:6" x14ac:dyDescent="0.2">
      <c r="B52" s="68"/>
      <c r="C52" s="70"/>
      <c r="D52" s="9"/>
      <c r="E52" s="10"/>
      <c r="F52" s="13"/>
    </row>
    <row r="53" spans="2:6" x14ac:dyDescent="0.2">
      <c r="B53" s="68"/>
      <c r="C53" s="70"/>
      <c r="D53" s="9"/>
      <c r="E53" s="10"/>
      <c r="F53" s="13"/>
    </row>
    <row r="54" spans="2:6" x14ac:dyDescent="0.2">
      <c r="B54" s="68"/>
      <c r="C54" s="70"/>
      <c r="D54" s="9"/>
      <c r="E54" s="10"/>
      <c r="F54" s="13"/>
    </row>
    <row r="55" spans="2:6" x14ac:dyDescent="0.2">
      <c r="B55" s="68"/>
      <c r="C55" s="70"/>
      <c r="D55" s="9"/>
      <c r="E55" s="10"/>
      <c r="F55" s="13"/>
    </row>
    <row r="56" spans="2:6" x14ac:dyDescent="0.2">
      <c r="B56" s="68"/>
      <c r="C56" s="70"/>
      <c r="D56" s="9"/>
      <c r="E56" s="10"/>
      <c r="F56" s="13"/>
    </row>
    <row r="57" spans="2:6" x14ac:dyDescent="0.2">
      <c r="B57" s="68"/>
      <c r="C57" s="70"/>
      <c r="D57" s="9"/>
      <c r="E57" s="10"/>
      <c r="F57" s="13"/>
    </row>
    <row r="58" spans="2:6" x14ac:dyDescent="0.2">
      <c r="B58" s="68"/>
      <c r="C58" s="70"/>
      <c r="D58" s="9"/>
      <c r="E58" s="10"/>
      <c r="F58" s="13"/>
    </row>
    <row r="59" spans="2:6" x14ac:dyDescent="0.2">
      <c r="B59" s="68"/>
      <c r="C59" s="70"/>
      <c r="D59" s="9"/>
      <c r="E59" s="10"/>
      <c r="F59" s="13"/>
    </row>
    <row r="60" spans="2:6" x14ac:dyDescent="0.2">
      <c r="B60" s="68"/>
      <c r="C60" s="70"/>
      <c r="D60" s="9"/>
      <c r="E60" s="10"/>
      <c r="F60" s="13"/>
    </row>
    <row r="61" spans="2:6" x14ac:dyDescent="0.2">
      <c r="B61" s="68"/>
      <c r="C61" s="70"/>
      <c r="D61" s="9"/>
      <c r="E61" s="10"/>
      <c r="F61" s="13"/>
    </row>
    <row r="62" spans="2:6" x14ac:dyDescent="0.2">
      <c r="B62" s="68"/>
      <c r="C62" s="70"/>
      <c r="D62" s="9"/>
      <c r="E62" s="10"/>
      <c r="F62" s="13"/>
    </row>
    <row r="63" spans="2:6" x14ac:dyDescent="0.2">
      <c r="B63" s="68"/>
      <c r="C63" s="70"/>
      <c r="D63" s="9"/>
      <c r="E63" s="10"/>
      <c r="F63" s="13"/>
    </row>
    <row r="64" spans="2:6" x14ac:dyDescent="0.2">
      <c r="B64" s="68"/>
      <c r="C64" s="70"/>
      <c r="D64" s="9"/>
      <c r="E64" s="10"/>
      <c r="F64" s="13"/>
    </row>
    <row r="65" spans="2:6" x14ac:dyDescent="0.2">
      <c r="B65" s="68"/>
      <c r="C65" s="70"/>
      <c r="D65" s="9"/>
      <c r="E65" s="10"/>
      <c r="F65" s="13"/>
    </row>
    <row r="66" spans="2:6" x14ac:dyDescent="0.2">
      <c r="B66" s="68"/>
      <c r="C66" s="70"/>
      <c r="D66" s="9"/>
      <c r="E66" s="10"/>
      <c r="F66" s="13"/>
    </row>
    <row r="67" spans="2:6" x14ac:dyDescent="0.2">
      <c r="B67" s="68"/>
      <c r="C67" s="70"/>
      <c r="D67" s="9"/>
      <c r="E67" s="10"/>
      <c r="F67" s="13"/>
    </row>
    <row r="68" spans="2:6" x14ac:dyDescent="0.2">
      <c r="B68" s="68"/>
      <c r="C68" s="70"/>
      <c r="D68" s="9"/>
      <c r="E68" s="10"/>
      <c r="F68" s="13"/>
    </row>
    <row r="69" spans="2:6" x14ac:dyDescent="0.2">
      <c r="B69" s="68"/>
      <c r="C69" s="70"/>
      <c r="D69" s="9"/>
      <c r="E69" s="10"/>
      <c r="F69" s="13"/>
    </row>
    <row r="70" spans="2:6" x14ac:dyDescent="0.2">
      <c r="B70" s="68"/>
      <c r="C70" s="70"/>
      <c r="D70" s="9"/>
      <c r="E70" s="10"/>
      <c r="F70" s="13"/>
    </row>
    <row r="71" spans="2:6" x14ac:dyDescent="0.2">
      <c r="B71" s="68"/>
      <c r="C71" s="70"/>
      <c r="D71" s="9"/>
      <c r="E71" s="10"/>
      <c r="F71" s="13"/>
    </row>
    <row r="72" spans="2:6" x14ac:dyDescent="0.2">
      <c r="B72" s="68"/>
      <c r="C72" s="70"/>
      <c r="D72" s="9"/>
      <c r="E72" s="10"/>
      <c r="F72" s="13"/>
    </row>
    <row r="73" spans="2:6" x14ac:dyDescent="0.2">
      <c r="B73" s="68"/>
      <c r="C73" s="70"/>
      <c r="D73" s="9"/>
      <c r="E73" s="10"/>
      <c r="F73" s="13"/>
    </row>
    <row r="74" spans="2:6" x14ac:dyDescent="0.2">
      <c r="B74" s="68"/>
      <c r="C74" s="70"/>
      <c r="D74" s="9"/>
      <c r="E74" s="10"/>
      <c r="F74" s="13"/>
    </row>
    <row r="75" spans="2:6" x14ac:dyDescent="0.2">
      <c r="B75" s="68"/>
      <c r="C75" s="70"/>
      <c r="D75" s="9"/>
      <c r="E75" s="10"/>
      <c r="F75" s="13"/>
    </row>
    <row r="76" spans="2:6" x14ac:dyDescent="0.2">
      <c r="B76" s="68"/>
      <c r="C76" s="70"/>
      <c r="D76" s="9"/>
      <c r="E76" s="10"/>
      <c r="F76" s="13"/>
    </row>
    <row r="77" spans="2:6" x14ac:dyDescent="0.2">
      <c r="B77" s="68"/>
      <c r="C77" s="70"/>
      <c r="D77" s="9"/>
      <c r="E77" s="10"/>
      <c r="F77" s="13"/>
    </row>
    <row r="78" spans="2:6" x14ac:dyDescent="0.2">
      <c r="B78" s="68"/>
      <c r="C78" s="70"/>
      <c r="D78" s="9"/>
      <c r="E78" s="10"/>
      <c r="F78" s="13"/>
    </row>
    <row r="79" spans="2:6" x14ac:dyDescent="0.2">
      <c r="B79" s="68"/>
      <c r="C79" s="70"/>
      <c r="D79" s="9"/>
      <c r="E79" s="10"/>
      <c r="F79" s="13"/>
    </row>
    <row r="80" spans="2:6" x14ac:dyDescent="0.2">
      <c r="B80" s="68"/>
      <c r="C80" s="70"/>
      <c r="D80" s="9"/>
      <c r="E80" s="10"/>
      <c r="F80" s="13"/>
    </row>
    <row r="81" spans="2:6" x14ac:dyDescent="0.2">
      <c r="B81" s="68"/>
      <c r="C81" s="70"/>
      <c r="D81" s="9"/>
      <c r="E81" s="10"/>
      <c r="F81" s="13"/>
    </row>
    <row r="82" spans="2:6" x14ac:dyDescent="0.2">
      <c r="B82" s="68"/>
      <c r="C82" s="70"/>
      <c r="D82" s="9"/>
      <c r="E82" s="10"/>
      <c r="F82" s="13"/>
    </row>
    <row r="83" spans="2:6" x14ac:dyDescent="0.2">
      <c r="B83" s="68"/>
      <c r="C83" s="70"/>
      <c r="D83" s="9"/>
      <c r="E83" s="10"/>
      <c r="F83" s="13"/>
    </row>
    <row r="84" spans="2:6" x14ac:dyDescent="0.2">
      <c r="B84" s="68"/>
      <c r="C84" s="70"/>
      <c r="D84" s="9"/>
      <c r="E84" s="10"/>
      <c r="F84" s="13"/>
    </row>
    <row r="85" spans="2:6" x14ac:dyDescent="0.2">
      <c r="B85" s="68"/>
      <c r="C85" s="70"/>
      <c r="D85" s="9"/>
      <c r="E85" s="10"/>
      <c r="F85" s="13"/>
    </row>
    <row r="86" spans="2:6" x14ac:dyDescent="0.2">
      <c r="B86" s="68"/>
      <c r="C86" s="70"/>
      <c r="D86" s="9"/>
      <c r="E86" s="10"/>
      <c r="F86" s="13"/>
    </row>
    <row r="87" spans="2:6" x14ac:dyDescent="0.2">
      <c r="B87" s="68"/>
      <c r="C87" s="70"/>
      <c r="D87" s="9"/>
      <c r="E87" s="10"/>
      <c r="F87" s="13"/>
    </row>
    <row r="88" spans="2:6" x14ac:dyDescent="0.2">
      <c r="B88" s="68"/>
      <c r="C88" s="70"/>
      <c r="D88" s="9"/>
      <c r="E88" s="10"/>
      <c r="F88" s="13"/>
    </row>
    <row r="89" spans="2:6" x14ac:dyDescent="0.2">
      <c r="B89" s="68"/>
      <c r="C89" s="70"/>
      <c r="D89" s="9"/>
      <c r="E89" s="10"/>
      <c r="F89" s="13"/>
    </row>
    <row r="90" spans="2:6" x14ac:dyDescent="0.2">
      <c r="B90" s="68"/>
      <c r="C90" s="70"/>
      <c r="D90" s="9"/>
      <c r="E90" s="10"/>
      <c r="F90" s="13"/>
    </row>
    <row r="91" spans="2:6" x14ac:dyDescent="0.2">
      <c r="B91" s="68"/>
      <c r="C91" s="70"/>
      <c r="D91" s="9"/>
      <c r="E91" s="10"/>
      <c r="F91" s="13"/>
    </row>
    <row r="92" spans="2:6" x14ac:dyDescent="0.2">
      <c r="B92" s="68"/>
      <c r="C92" s="70"/>
      <c r="D92" s="9"/>
      <c r="E92" s="10"/>
      <c r="F92" s="13"/>
    </row>
    <row r="93" spans="2:6" x14ac:dyDescent="0.2">
      <c r="B93" s="68"/>
      <c r="C93" s="70"/>
      <c r="D93" s="9"/>
      <c r="E93" s="10"/>
      <c r="F93" s="13"/>
    </row>
    <row r="94" spans="2:6" x14ac:dyDescent="0.2">
      <c r="B94" s="68"/>
      <c r="C94" s="70"/>
      <c r="D94" s="9"/>
      <c r="E94" s="10"/>
      <c r="F94" s="13"/>
    </row>
    <row r="95" spans="2:6" x14ac:dyDescent="0.2">
      <c r="B95" s="68"/>
      <c r="C95" s="70"/>
      <c r="D95" s="9"/>
      <c r="E95" s="10"/>
      <c r="F95" s="13"/>
    </row>
    <row r="96" spans="2:6" x14ac:dyDescent="0.2">
      <c r="B96" s="68"/>
      <c r="C96" s="70"/>
      <c r="D96" s="9"/>
      <c r="E96" s="10"/>
      <c r="F96" s="13"/>
    </row>
    <row r="97" spans="2:6" x14ac:dyDescent="0.2">
      <c r="B97" s="68"/>
      <c r="C97" s="70"/>
      <c r="D97" s="9"/>
      <c r="E97" s="10"/>
      <c r="F97" s="13"/>
    </row>
    <row r="98" spans="2:6" x14ac:dyDescent="0.2">
      <c r="B98" s="68"/>
      <c r="C98" s="70"/>
      <c r="D98" s="9"/>
      <c r="E98" s="10"/>
      <c r="F98" s="13"/>
    </row>
    <row r="99" spans="2:6" x14ac:dyDescent="0.2">
      <c r="B99" s="68"/>
      <c r="C99" s="70"/>
      <c r="D99" s="9"/>
      <c r="E99" s="10"/>
      <c r="F99" s="13"/>
    </row>
    <row r="100" spans="2:6" x14ac:dyDescent="0.2">
      <c r="B100" s="68"/>
      <c r="C100" s="70"/>
      <c r="D100" s="9"/>
      <c r="E100" s="10"/>
      <c r="F100" s="13"/>
    </row>
    <row r="101" spans="2:6" x14ac:dyDescent="0.2">
      <c r="B101" s="68"/>
      <c r="C101" s="70"/>
      <c r="D101" s="9"/>
      <c r="E101" s="10"/>
      <c r="F101" s="13"/>
    </row>
    <row r="102" spans="2:6" x14ac:dyDescent="0.2">
      <c r="B102" s="68"/>
      <c r="C102" s="70"/>
      <c r="D102" s="9"/>
      <c r="E102" s="10"/>
      <c r="F102" s="13"/>
    </row>
    <row r="103" spans="2:6" x14ac:dyDescent="0.2">
      <c r="B103" s="68"/>
      <c r="C103" s="70"/>
      <c r="D103" s="9"/>
      <c r="E103" s="10"/>
      <c r="F103" s="13"/>
    </row>
    <row r="104" spans="2:6" x14ac:dyDescent="0.2">
      <c r="B104" s="68"/>
      <c r="C104" s="70"/>
      <c r="D104" s="9"/>
      <c r="E104" s="10"/>
      <c r="F104" s="13"/>
    </row>
    <row r="105" spans="2:6" x14ac:dyDescent="0.2">
      <c r="B105" s="68"/>
      <c r="C105" s="70"/>
      <c r="D105" s="9"/>
      <c r="E105" s="10"/>
      <c r="F105" s="13"/>
    </row>
    <row r="106" spans="2:6" x14ac:dyDescent="0.2">
      <c r="B106" s="68"/>
      <c r="C106" s="70"/>
      <c r="D106" s="9"/>
      <c r="E106" s="10"/>
      <c r="F106" s="13"/>
    </row>
  </sheetData>
  <autoFilter ref="B6:F106" xr:uid="{C59BC6B0-8656-4FE4-8198-8FB66AA2275D}"/>
  <sortState xmlns:xlrd2="http://schemas.microsoft.com/office/spreadsheetml/2017/richdata2" ref="B7:F25">
    <sortCondition ref="B7:B25"/>
  </sortState>
  <mergeCells count="3">
    <mergeCell ref="B2:F2"/>
    <mergeCell ref="B3:F3"/>
    <mergeCell ref="B4:F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7C45-B5BA-4D54-921D-87E49D767A20}">
  <sheetPr>
    <tabColor rgb="FFFF0066"/>
  </sheetPr>
  <dimension ref="A1:H68"/>
  <sheetViews>
    <sheetView showGridLines="0" tabSelected="1" workbookViewId="0">
      <pane ySplit="6" topLeftCell="A7" activePane="bottomLeft" state="frozen"/>
      <selection pane="bottomLeft" activeCell="B7" sqref="B7"/>
    </sheetView>
  </sheetViews>
  <sheetFormatPr baseColWidth="10" defaultRowHeight="15" x14ac:dyDescent="0.2"/>
  <cols>
    <col min="1" max="1" width="3.33203125" customWidth="1"/>
    <col min="2" max="2" width="9.88671875" bestFit="1" customWidth="1"/>
    <col min="3" max="3" width="7.6640625" bestFit="1" customWidth="1"/>
    <col min="4" max="4" width="12.6640625" bestFit="1" customWidth="1"/>
    <col min="5" max="5" width="31.21875" customWidth="1"/>
    <col min="6" max="6" width="24.88671875" bestFit="1" customWidth="1"/>
    <col min="7" max="7" width="13.21875" bestFit="1" customWidth="1"/>
    <col min="8" max="8" width="33" customWidth="1"/>
  </cols>
  <sheetData>
    <row r="1" spans="1:8" ht="15.75" x14ac:dyDescent="0.25">
      <c r="A1" s="2"/>
      <c r="B1" s="2"/>
      <c r="C1" s="2"/>
      <c r="D1" s="2"/>
      <c r="E1" s="2"/>
      <c r="F1" s="7"/>
      <c r="G1" s="6"/>
      <c r="H1" s="2"/>
    </row>
    <row r="2" spans="1:8" ht="23.25" x14ac:dyDescent="0.35">
      <c r="A2" s="2"/>
      <c r="B2" s="71" t="s">
        <v>162</v>
      </c>
      <c r="C2" s="74"/>
      <c r="D2" s="74"/>
      <c r="E2" s="74"/>
      <c r="F2" s="74"/>
      <c r="G2" s="74"/>
      <c r="H2" s="74"/>
    </row>
    <row r="3" spans="1:8" ht="20.25" x14ac:dyDescent="0.3">
      <c r="A3" s="2"/>
      <c r="B3" s="72" t="s">
        <v>161</v>
      </c>
      <c r="C3" s="74"/>
      <c r="D3" s="74"/>
      <c r="E3" s="74"/>
      <c r="F3" s="74"/>
      <c r="G3" s="74"/>
      <c r="H3" s="74"/>
    </row>
    <row r="4" spans="1:8" ht="18.75" x14ac:dyDescent="0.3">
      <c r="A4" s="2"/>
      <c r="B4" s="73">
        <f>MAX(B6:B389)</f>
        <v>45880</v>
      </c>
      <c r="C4" s="74"/>
      <c r="D4" s="74"/>
      <c r="E4" s="74"/>
      <c r="F4" s="74"/>
      <c r="G4" s="74"/>
      <c r="H4" s="74"/>
    </row>
    <row r="5" spans="1:8" ht="18" x14ac:dyDescent="0.25">
      <c r="A5" s="2"/>
      <c r="B5" s="2"/>
      <c r="C5" s="3"/>
      <c r="D5" s="3"/>
      <c r="E5" s="5"/>
      <c r="F5" s="3"/>
      <c r="G5" s="4"/>
      <c r="H5" s="3"/>
    </row>
    <row r="6" spans="1:8" ht="30" x14ac:dyDescent="0.2">
      <c r="A6" s="1"/>
      <c r="B6" s="29" t="s">
        <v>160</v>
      </c>
      <c r="C6" s="29" t="s">
        <v>159</v>
      </c>
      <c r="D6" s="29" t="s">
        <v>158</v>
      </c>
      <c r="E6" s="29" t="s">
        <v>157</v>
      </c>
      <c r="F6" s="29" t="s">
        <v>156</v>
      </c>
      <c r="G6" s="29" t="s">
        <v>155</v>
      </c>
      <c r="H6" s="29" t="s">
        <v>154</v>
      </c>
    </row>
    <row r="7" spans="1:8" x14ac:dyDescent="0.2">
      <c r="B7" s="8">
        <v>45054</v>
      </c>
      <c r="C7" s="9" t="s">
        <v>37</v>
      </c>
      <c r="D7" s="9" t="s">
        <v>153</v>
      </c>
      <c r="E7" s="10" t="s">
        <v>152</v>
      </c>
      <c r="F7" s="11" t="s">
        <v>151</v>
      </c>
      <c r="G7" s="14" t="s">
        <v>150</v>
      </c>
      <c r="H7" s="13" t="s">
        <v>149</v>
      </c>
    </row>
    <row r="8" spans="1:8" x14ac:dyDescent="0.2">
      <c r="B8" s="8">
        <v>45708</v>
      </c>
      <c r="C8" s="9" t="s">
        <v>37</v>
      </c>
      <c r="D8" s="15" t="s">
        <v>31</v>
      </c>
      <c r="E8" s="15" t="s">
        <v>139</v>
      </c>
      <c r="F8" s="11" t="s">
        <v>138</v>
      </c>
      <c r="G8" s="14" t="s">
        <v>84</v>
      </c>
      <c r="H8" s="13" t="s">
        <v>137</v>
      </c>
    </row>
    <row r="9" spans="1:8" x14ac:dyDescent="0.2">
      <c r="B9" s="16">
        <v>44537</v>
      </c>
      <c r="C9" s="13" t="s">
        <v>37</v>
      </c>
      <c r="D9" s="13" t="s">
        <v>55</v>
      </c>
      <c r="E9" s="13" t="s">
        <v>396</v>
      </c>
      <c r="F9" s="14" t="s">
        <v>148</v>
      </c>
      <c r="G9" s="18" t="s">
        <v>116</v>
      </c>
      <c r="H9" s="19">
        <v>475869</v>
      </c>
    </row>
    <row r="10" spans="1:8" x14ac:dyDescent="0.2">
      <c r="B10" s="16">
        <v>44537</v>
      </c>
      <c r="C10" s="13" t="s">
        <v>37</v>
      </c>
      <c r="D10" s="13" t="s">
        <v>55</v>
      </c>
      <c r="E10" s="13" t="s">
        <v>147</v>
      </c>
      <c r="F10" s="14" t="s">
        <v>146</v>
      </c>
      <c r="G10" s="18" t="s">
        <v>116</v>
      </c>
      <c r="H10" s="13" t="s">
        <v>145</v>
      </c>
    </row>
    <row r="11" spans="1:8" x14ac:dyDescent="0.2">
      <c r="B11" s="8">
        <v>45685</v>
      </c>
      <c r="C11" s="9" t="s">
        <v>37</v>
      </c>
      <c r="D11" s="9" t="s">
        <v>36</v>
      </c>
      <c r="E11" s="13" t="s">
        <v>35</v>
      </c>
      <c r="F11" s="20" t="s">
        <v>22</v>
      </c>
      <c r="G11" s="14" t="s">
        <v>34</v>
      </c>
      <c r="H11" s="13" t="s">
        <v>33</v>
      </c>
    </row>
    <row r="12" spans="1:8" x14ac:dyDescent="0.2">
      <c r="B12" s="16">
        <v>45075</v>
      </c>
      <c r="C12" s="13" t="s">
        <v>37</v>
      </c>
      <c r="D12" s="9" t="s">
        <v>144</v>
      </c>
      <c r="E12" s="13" t="s">
        <v>143</v>
      </c>
      <c r="F12" s="14" t="s">
        <v>103</v>
      </c>
      <c r="G12" s="18" t="s">
        <v>34</v>
      </c>
      <c r="H12" s="13" t="s">
        <v>142</v>
      </c>
    </row>
    <row r="13" spans="1:8" x14ac:dyDescent="0.2">
      <c r="B13" s="8">
        <v>45436</v>
      </c>
      <c r="C13" s="9" t="s">
        <v>37</v>
      </c>
      <c r="D13" s="9" t="s">
        <v>51</v>
      </c>
      <c r="E13" s="13" t="s">
        <v>141</v>
      </c>
      <c r="F13" s="11" t="s">
        <v>140</v>
      </c>
      <c r="G13" s="14" t="s">
        <v>23</v>
      </c>
      <c r="H13" s="13"/>
    </row>
    <row r="14" spans="1:8" x14ac:dyDescent="0.2">
      <c r="B14" s="8">
        <v>45385</v>
      </c>
      <c r="C14" s="9" t="s">
        <v>37</v>
      </c>
      <c r="D14" s="9" t="s">
        <v>136</v>
      </c>
      <c r="E14" s="13" t="s">
        <v>135</v>
      </c>
      <c r="F14" s="22" t="s">
        <v>134</v>
      </c>
      <c r="G14" s="14" t="s">
        <v>133</v>
      </c>
      <c r="H14" s="13" t="s">
        <v>132</v>
      </c>
    </row>
    <row r="15" spans="1:8" x14ac:dyDescent="0.2">
      <c r="B15" s="8">
        <v>45323</v>
      </c>
      <c r="C15" s="9" t="s">
        <v>37</v>
      </c>
      <c r="D15" s="9" t="s">
        <v>131</v>
      </c>
      <c r="E15" s="13" t="s">
        <v>130</v>
      </c>
      <c r="F15" s="24" t="s">
        <v>22</v>
      </c>
      <c r="G15" s="14"/>
      <c r="H15" s="13" t="s">
        <v>59</v>
      </c>
    </row>
    <row r="16" spans="1:8" x14ac:dyDescent="0.2">
      <c r="B16" s="8">
        <v>45069</v>
      </c>
      <c r="C16" s="9" t="s">
        <v>37</v>
      </c>
      <c r="D16" s="9" t="s">
        <v>129</v>
      </c>
      <c r="E16" s="13" t="s">
        <v>128</v>
      </c>
      <c r="F16" s="22" t="s">
        <v>22</v>
      </c>
      <c r="G16" s="14" t="s">
        <v>23</v>
      </c>
      <c r="H16" s="13"/>
    </row>
    <row r="17" spans="2:8" x14ac:dyDescent="0.2">
      <c r="B17" s="8">
        <v>45037</v>
      </c>
      <c r="C17" s="9" t="s">
        <v>37</v>
      </c>
      <c r="D17" s="9" t="s">
        <v>127</v>
      </c>
      <c r="E17" s="25" t="s">
        <v>126</v>
      </c>
      <c r="F17" s="11" t="s">
        <v>24</v>
      </c>
      <c r="G17" s="14" t="s">
        <v>125</v>
      </c>
      <c r="H17" s="26" t="s">
        <v>22</v>
      </c>
    </row>
    <row r="18" spans="2:8" x14ac:dyDescent="0.2">
      <c r="B18" s="8">
        <v>44652</v>
      </c>
      <c r="C18" s="9" t="s">
        <v>37</v>
      </c>
      <c r="D18" s="15" t="s">
        <v>297</v>
      </c>
      <c r="E18" s="15" t="s">
        <v>298</v>
      </c>
      <c r="F18" s="11" t="s">
        <v>299</v>
      </c>
      <c r="G18" s="14" t="s">
        <v>34</v>
      </c>
      <c r="H18" s="13" t="s">
        <v>392</v>
      </c>
    </row>
    <row r="19" spans="2:8" x14ac:dyDescent="0.2">
      <c r="B19" s="8">
        <v>45708</v>
      </c>
      <c r="C19" s="9" t="s">
        <v>37</v>
      </c>
      <c r="D19" s="9" t="s">
        <v>47</v>
      </c>
      <c r="E19" s="10" t="s">
        <v>124</v>
      </c>
      <c r="F19" s="22" t="s">
        <v>113</v>
      </c>
      <c r="G19" s="14" t="s">
        <v>34</v>
      </c>
      <c r="H19" s="13"/>
    </row>
    <row r="20" spans="2:8" x14ac:dyDescent="0.2">
      <c r="B20" s="8">
        <v>45845</v>
      </c>
      <c r="C20" s="9" t="s">
        <v>37</v>
      </c>
      <c r="D20" s="9" t="s">
        <v>47</v>
      </c>
      <c r="E20" s="10" t="s">
        <v>404</v>
      </c>
      <c r="F20" s="22" t="s">
        <v>113</v>
      </c>
      <c r="G20" s="14" t="s">
        <v>34</v>
      </c>
      <c r="H20" s="13" t="s">
        <v>405</v>
      </c>
    </row>
    <row r="21" spans="2:8" x14ac:dyDescent="0.2">
      <c r="B21" s="8">
        <v>45880</v>
      </c>
      <c r="C21" s="13" t="s">
        <v>37</v>
      </c>
      <c r="D21" s="9" t="s">
        <v>431</v>
      </c>
      <c r="E21" s="26" t="s">
        <v>432</v>
      </c>
      <c r="F21" s="14" t="s">
        <v>22</v>
      </c>
      <c r="G21" s="14" t="s">
        <v>112</v>
      </c>
      <c r="H21" s="13"/>
    </row>
    <row r="22" spans="2:8" x14ac:dyDescent="0.2">
      <c r="B22" s="8">
        <v>45497</v>
      </c>
      <c r="C22" s="9" t="s">
        <v>37</v>
      </c>
      <c r="D22" s="9" t="s">
        <v>277</v>
      </c>
      <c r="E22" s="10">
        <v>-23</v>
      </c>
      <c r="F22" s="11"/>
      <c r="G22" s="12"/>
      <c r="H22" s="13"/>
    </row>
    <row r="23" spans="2:8" x14ac:dyDescent="0.2">
      <c r="B23" s="8">
        <v>44564</v>
      </c>
      <c r="C23" s="9" t="s">
        <v>37</v>
      </c>
      <c r="D23" s="9" t="s">
        <v>123</v>
      </c>
      <c r="E23" s="26" t="s">
        <v>122</v>
      </c>
      <c r="F23" s="11" t="s">
        <v>22</v>
      </c>
      <c r="G23" s="12" t="s">
        <v>34</v>
      </c>
      <c r="H23" s="27" t="s">
        <v>121</v>
      </c>
    </row>
    <row r="24" spans="2:8" x14ac:dyDescent="0.2">
      <c r="B24" s="8">
        <v>44215</v>
      </c>
      <c r="C24" s="9" t="s">
        <v>37</v>
      </c>
      <c r="D24" s="9" t="s">
        <v>120</v>
      </c>
      <c r="E24" s="10" t="s">
        <v>278</v>
      </c>
      <c r="F24" s="11" t="s">
        <v>22</v>
      </c>
      <c r="G24" s="12" t="s">
        <v>118</v>
      </c>
      <c r="H24" s="13" t="s">
        <v>279</v>
      </c>
    </row>
    <row r="25" spans="2:8" x14ac:dyDescent="0.2">
      <c r="B25" s="8">
        <v>44958</v>
      </c>
      <c r="C25" s="9" t="s">
        <v>37</v>
      </c>
      <c r="D25" s="9" t="s">
        <v>120</v>
      </c>
      <c r="E25" s="9" t="s">
        <v>119</v>
      </c>
      <c r="F25" s="11" t="s">
        <v>22</v>
      </c>
      <c r="G25" s="14" t="s">
        <v>118</v>
      </c>
      <c r="H25" s="13" t="s">
        <v>117</v>
      </c>
    </row>
    <row r="26" spans="2:8" x14ac:dyDescent="0.2">
      <c r="B26" s="8">
        <v>45782</v>
      </c>
      <c r="C26" s="9" t="s">
        <v>37</v>
      </c>
      <c r="D26" s="9" t="s">
        <v>363</v>
      </c>
      <c r="E26" s="30" t="s">
        <v>364</v>
      </c>
      <c r="F26" s="11" t="s">
        <v>22</v>
      </c>
      <c r="G26" s="12" t="s">
        <v>118</v>
      </c>
      <c r="H26" s="13" t="s">
        <v>365</v>
      </c>
    </row>
    <row r="27" spans="2:8" x14ac:dyDescent="0.2">
      <c r="B27" s="31">
        <v>45335</v>
      </c>
      <c r="C27" s="32" t="s">
        <v>37</v>
      </c>
      <c r="D27" s="32" t="s">
        <v>115</v>
      </c>
      <c r="E27" s="33" t="s">
        <v>114</v>
      </c>
      <c r="F27" s="37" t="s">
        <v>113</v>
      </c>
      <c r="G27" s="35" t="s">
        <v>116</v>
      </c>
      <c r="H27" s="36" t="s">
        <v>111</v>
      </c>
    </row>
    <row r="28" spans="2:8" x14ac:dyDescent="0.2">
      <c r="B28" s="31">
        <v>45663</v>
      </c>
      <c r="C28" s="32" t="s">
        <v>37</v>
      </c>
      <c r="D28" s="32" t="s">
        <v>115</v>
      </c>
      <c r="E28" s="33" t="s">
        <v>114</v>
      </c>
      <c r="F28" s="34" t="s">
        <v>113</v>
      </c>
      <c r="G28" s="35" t="s">
        <v>112</v>
      </c>
      <c r="H28" s="36" t="s">
        <v>111</v>
      </c>
    </row>
    <row r="29" spans="2:8" x14ac:dyDescent="0.2">
      <c r="B29" s="8">
        <v>45740</v>
      </c>
      <c r="C29" s="9" t="s">
        <v>37</v>
      </c>
      <c r="D29" s="9" t="s">
        <v>115</v>
      </c>
      <c r="E29" s="10" t="s">
        <v>114</v>
      </c>
      <c r="F29" s="14" t="s">
        <v>113</v>
      </c>
      <c r="G29" s="14" t="s">
        <v>23</v>
      </c>
      <c r="H29" s="13" t="s">
        <v>111</v>
      </c>
    </row>
    <row r="30" spans="2:8" x14ac:dyDescent="0.2">
      <c r="B30" s="8">
        <v>45828</v>
      </c>
      <c r="C30" s="9" t="s">
        <v>37</v>
      </c>
      <c r="D30" s="9" t="s">
        <v>115</v>
      </c>
      <c r="E30" s="10" t="s">
        <v>114</v>
      </c>
      <c r="F30" s="14" t="s">
        <v>113</v>
      </c>
      <c r="G30" s="14" t="s">
        <v>133</v>
      </c>
      <c r="H30" s="13" t="s">
        <v>381</v>
      </c>
    </row>
    <row r="31" spans="2:8" x14ac:dyDescent="0.2">
      <c r="B31" s="16">
        <v>45127</v>
      </c>
      <c r="C31" s="13" t="s">
        <v>37</v>
      </c>
      <c r="D31" s="9" t="s">
        <v>110</v>
      </c>
      <c r="E31" s="17" t="s">
        <v>109</v>
      </c>
      <c r="F31" s="14" t="s">
        <v>108</v>
      </c>
      <c r="G31" s="18" t="s">
        <v>107</v>
      </c>
      <c r="H31" s="13" t="s">
        <v>106</v>
      </c>
    </row>
    <row r="32" spans="2:8" x14ac:dyDescent="0.2">
      <c r="B32" s="16">
        <v>45014</v>
      </c>
      <c r="C32" s="13" t="s">
        <v>37</v>
      </c>
      <c r="D32" s="9" t="s">
        <v>105</v>
      </c>
      <c r="E32" s="26" t="s">
        <v>104</v>
      </c>
      <c r="F32" s="14" t="s">
        <v>103</v>
      </c>
      <c r="G32" s="18" t="s">
        <v>34</v>
      </c>
      <c r="H32" s="28" t="s">
        <v>102</v>
      </c>
    </row>
    <row r="33" spans="2:8" x14ac:dyDescent="0.2">
      <c r="B33" s="8">
        <v>45847</v>
      </c>
      <c r="C33" s="13" t="s">
        <v>37</v>
      </c>
      <c r="D33" s="9" t="s">
        <v>407</v>
      </c>
      <c r="E33" s="10" t="s">
        <v>408</v>
      </c>
      <c r="F33" s="14" t="s">
        <v>113</v>
      </c>
      <c r="G33" s="12" t="s">
        <v>84</v>
      </c>
      <c r="H33" s="13"/>
    </row>
    <row r="34" spans="2:8" x14ac:dyDescent="0.2">
      <c r="B34" s="8">
        <v>45671</v>
      </c>
      <c r="C34" s="9" t="s">
        <v>37</v>
      </c>
      <c r="D34" s="9" t="s">
        <v>280</v>
      </c>
      <c r="E34" s="10" t="s">
        <v>281</v>
      </c>
      <c r="F34" s="14" t="s">
        <v>22</v>
      </c>
      <c r="G34" s="12"/>
      <c r="H34" s="13" t="s">
        <v>282</v>
      </c>
    </row>
    <row r="35" spans="2:8" x14ac:dyDescent="0.2">
      <c r="B35" s="40">
        <v>44620</v>
      </c>
      <c r="C35" s="36" t="s">
        <v>37</v>
      </c>
      <c r="D35" s="36" t="s">
        <v>98</v>
      </c>
      <c r="E35" s="41" t="s">
        <v>97</v>
      </c>
      <c r="F35" s="35" t="s">
        <v>101</v>
      </c>
      <c r="G35" s="42" t="s">
        <v>100</v>
      </c>
      <c r="H35" s="36" t="s">
        <v>99</v>
      </c>
    </row>
    <row r="36" spans="2:8" x14ac:dyDescent="0.2">
      <c r="B36" s="16">
        <v>45318</v>
      </c>
      <c r="C36" s="13" t="s">
        <v>37</v>
      </c>
      <c r="D36" s="13" t="s">
        <v>98</v>
      </c>
      <c r="E36" s="17" t="s">
        <v>97</v>
      </c>
      <c r="F36" s="14" t="s">
        <v>22</v>
      </c>
      <c r="G36" s="18" t="s">
        <v>34</v>
      </c>
      <c r="H36" s="13" t="s">
        <v>96</v>
      </c>
    </row>
    <row r="37" spans="2:8" x14ac:dyDescent="0.2">
      <c r="B37" s="8">
        <v>44967</v>
      </c>
      <c r="C37" s="9" t="s">
        <v>37</v>
      </c>
      <c r="D37" s="9" t="s">
        <v>92</v>
      </c>
      <c r="E37" s="10" t="s">
        <v>95</v>
      </c>
      <c r="F37" s="14"/>
      <c r="G37" s="14" t="s">
        <v>94</v>
      </c>
      <c r="H37" s="13" t="s">
        <v>93</v>
      </c>
    </row>
    <row r="38" spans="2:8" x14ac:dyDescent="0.2">
      <c r="B38" s="8">
        <v>45232</v>
      </c>
      <c r="C38" s="9" t="s">
        <v>37</v>
      </c>
      <c r="D38" s="9" t="s">
        <v>92</v>
      </c>
      <c r="E38" s="10" t="s">
        <v>91</v>
      </c>
      <c r="F38" s="14" t="s">
        <v>90</v>
      </c>
      <c r="G38" s="14" t="s">
        <v>89</v>
      </c>
      <c r="H38" s="13" t="s">
        <v>88</v>
      </c>
    </row>
    <row r="39" spans="2:8" x14ac:dyDescent="0.2">
      <c r="B39" s="16">
        <v>44851</v>
      </c>
      <c r="C39" s="9" t="s">
        <v>37</v>
      </c>
      <c r="D39" s="13" t="s">
        <v>86</v>
      </c>
      <c r="E39" s="27" t="s">
        <v>489</v>
      </c>
      <c r="F39" s="14" t="s">
        <v>87</v>
      </c>
      <c r="G39" s="18" t="s">
        <v>49</v>
      </c>
      <c r="H39" s="13" t="s">
        <v>83</v>
      </c>
    </row>
    <row r="40" spans="2:8" x14ac:dyDescent="0.2">
      <c r="B40" s="16">
        <v>45846</v>
      </c>
      <c r="C40" s="9" t="s">
        <v>37</v>
      </c>
      <c r="D40" s="13" t="s">
        <v>86</v>
      </c>
      <c r="E40" s="13" t="s">
        <v>489</v>
      </c>
      <c r="F40" s="14" t="s">
        <v>85</v>
      </c>
      <c r="G40" s="18" t="s">
        <v>84</v>
      </c>
      <c r="H40" s="13" t="s">
        <v>406</v>
      </c>
    </row>
    <row r="41" spans="2:8" x14ac:dyDescent="0.2">
      <c r="B41" s="16">
        <v>44930</v>
      </c>
      <c r="C41" s="13" t="s">
        <v>37</v>
      </c>
      <c r="D41" s="9" t="s">
        <v>81</v>
      </c>
      <c r="E41" s="21" t="s">
        <v>80</v>
      </c>
      <c r="F41" s="14" t="s">
        <v>24</v>
      </c>
      <c r="G41" s="18" t="s">
        <v>34</v>
      </c>
      <c r="H41" s="13" t="s">
        <v>82</v>
      </c>
    </row>
    <row r="42" spans="2:8" x14ac:dyDescent="0.2">
      <c r="B42" s="16">
        <v>44930</v>
      </c>
      <c r="C42" s="13" t="s">
        <v>37</v>
      </c>
      <c r="D42" s="9" t="s">
        <v>81</v>
      </c>
      <c r="E42" s="21" t="s">
        <v>80</v>
      </c>
      <c r="F42" s="14" t="s">
        <v>24</v>
      </c>
      <c r="G42" s="18" t="s">
        <v>34</v>
      </c>
      <c r="H42" s="13" t="s">
        <v>79</v>
      </c>
    </row>
    <row r="43" spans="2:8" x14ac:dyDescent="0.2">
      <c r="B43" s="8">
        <v>45362</v>
      </c>
      <c r="C43" s="9" t="s">
        <v>37</v>
      </c>
      <c r="D43" s="9" t="s">
        <v>78</v>
      </c>
      <c r="E43" s="23" t="s">
        <v>77</v>
      </c>
      <c r="F43" s="14" t="s">
        <v>76</v>
      </c>
      <c r="G43" s="14" t="s">
        <v>75</v>
      </c>
      <c r="H43" s="13" t="s">
        <v>74</v>
      </c>
    </row>
    <row r="44" spans="2:8" x14ac:dyDescent="0.2">
      <c r="B44" s="8">
        <v>45161</v>
      </c>
      <c r="C44" s="9" t="s">
        <v>37</v>
      </c>
      <c r="D44" s="9" t="s">
        <v>73</v>
      </c>
      <c r="E44" s="10" t="s">
        <v>72</v>
      </c>
      <c r="F44" s="14" t="s">
        <v>71</v>
      </c>
      <c r="G44" s="14"/>
      <c r="H44" s="27" t="s">
        <v>22</v>
      </c>
    </row>
    <row r="45" spans="2:8" x14ac:dyDescent="0.2">
      <c r="B45" s="16">
        <v>45488</v>
      </c>
      <c r="C45" s="13" t="s">
        <v>37</v>
      </c>
      <c r="D45" s="9" t="s">
        <v>68</v>
      </c>
      <c r="E45" s="27" t="s">
        <v>67</v>
      </c>
      <c r="F45" s="14" t="s">
        <v>66</v>
      </c>
      <c r="G45" s="18" t="s">
        <v>362</v>
      </c>
      <c r="H45" s="13"/>
    </row>
    <row r="46" spans="2:8" x14ac:dyDescent="0.2">
      <c r="B46" s="16">
        <v>44958</v>
      </c>
      <c r="C46" s="13" t="s">
        <v>37</v>
      </c>
      <c r="D46" s="9" t="s">
        <v>68</v>
      </c>
      <c r="E46" s="26" t="s">
        <v>70</v>
      </c>
      <c r="F46" s="14" t="s">
        <v>69</v>
      </c>
      <c r="G46" s="18" t="s">
        <v>34</v>
      </c>
      <c r="H46" s="13"/>
    </row>
    <row r="47" spans="2:8" x14ac:dyDescent="0.2">
      <c r="B47" s="16">
        <v>45120</v>
      </c>
      <c r="C47" s="13" t="s">
        <v>37</v>
      </c>
      <c r="D47" s="9" t="s">
        <v>65</v>
      </c>
      <c r="E47" s="26" t="s">
        <v>64</v>
      </c>
      <c r="F47" s="14" t="s">
        <v>63</v>
      </c>
      <c r="G47" s="18" t="s">
        <v>23</v>
      </c>
      <c r="H47" s="13" t="s">
        <v>62</v>
      </c>
    </row>
    <row r="48" spans="2:8" x14ac:dyDescent="0.2">
      <c r="B48" s="8">
        <v>45310</v>
      </c>
      <c r="C48" s="9" t="s">
        <v>37</v>
      </c>
      <c r="D48" s="9" t="s">
        <v>61</v>
      </c>
      <c r="E48" s="23" t="s">
        <v>60</v>
      </c>
      <c r="F48" s="14" t="s">
        <v>24</v>
      </c>
      <c r="G48" s="14"/>
      <c r="H48" s="13" t="s">
        <v>59</v>
      </c>
    </row>
    <row r="49" spans="2:8" x14ac:dyDescent="0.2">
      <c r="B49" s="8">
        <v>45863</v>
      </c>
      <c r="C49" s="13" t="s">
        <v>37</v>
      </c>
      <c r="D49" s="9" t="s">
        <v>421</v>
      </c>
      <c r="E49" s="30" t="s">
        <v>420</v>
      </c>
      <c r="F49" s="14" t="s">
        <v>22</v>
      </c>
      <c r="G49" s="14" t="s">
        <v>112</v>
      </c>
      <c r="H49" s="13"/>
    </row>
    <row r="50" spans="2:8" x14ac:dyDescent="0.2">
      <c r="B50" s="8">
        <v>41918</v>
      </c>
      <c r="C50" s="13" t="s">
        <v>37</v>
      </c>
      <c r="D50" s="9" t="s">
        <v>437</v>
      </c>
      <c r="E50" s="10" t="s">
        <v>436</v>
      </c>
      <c r="F50" s="11" t="s">
        <v>433</v>
      </c>
      <c r="G50" s="14" t="s">
        <v>434</v>
      </c>
      <c r="H50" s="13" t="s">
        <v>435</v>
      </c>
    </row>
    <row r="51" spans="2:8" x14ac:dyDescent="0.2">
      <c r="B51" s="16">
        <v>44927</v>
      </c>
      <c r="C51" s="13" t="s">
        <v>37</v>
      </c>
      <c r="D51" s="9" t="s">
        <v>58</v>
      </c>
      <c r="E51" s="26" t="s">
        <v>57</v>
      </c>
      <c r="F51" s="14" t="s">
        <v>22</v>
      </c>
      <c r="G51" s="18" t="s">
        <v>34</v>
      </c>
      <c r="H51" s="13" t="s">
        <v>56</v>
      </c>
    </row>
    <row r="52" spans="2:8" x14ac:dyDescent="0.2">
      <c r="B52" s="8"/>
      <c r="C52" s="9"/>
      <c r="D52" s="9"/>
      <c r="E52" s="10"/>
      <c r="F52" s="11"/>
      <c r="G52" s="12"/>
      <c r="H52" s="13"/>
    </row>
    <row r="53" spans="2:8" x14ac:dyDescent="0.2">
      <c r="B53" s="8"/>
      <c r="C53" s="9"/>
      <c r="D53" s="9"/>
      <c r="E53" s="10"/>
      <c r="F53" s="11"/>
      <c r="G53" s="12"/>
      <c r="H53" s="13"/>
    </row>
    <row r="54" spans="2:8" x14ac:dyDescent="0.2">
      <c r="B54" s="8"/>
      <c r="C54" s="9"/>
      <c r="D54" s="9"/>
      <c r="E54" s="10"/>
      <c r="F54" s="11"/>
      <c r="G54" s="12"/>
      <c r="H54" s="13"/>
    </row>
    <row r="55" spans="2:8" x14ac:dyDescent="0.2">
      <c r="B55" s="8"/>
      <c r="C55" s="9"/>
      <c r="D55" s="9"/>
      <c r="E55" s="10"/>
      <c r="F55" s="11"/>
      <c r="G55" s="12"/>
      <c r="H55" s="13"/>
    </row>
    <row r="56" spans="2:8" x14ac:dyDescent="0.2">
      <c r="B56" s="8"/>
      <c r="C56" s="9"/>
      <c r="D56" s="9"/>
      <c r="E56" s="10"/>
      <c r="F56" s="11"/>
      <c r="G56" s="12"/>
      <c r="H56" s="13"/>
    </row>
    <row r="57" spans="2:8" x14ac:dyDescent="0.2">
      <c r="B57" s="8"/>
      <c r="C57" s="9"/>
      <c r="D57" s="9"/>
      <c r="E57" s="10"/>
      <c r="F57" s="11"/>
      <c r="G57" s="12"/>
      <c r="H57" s="13"/>
    </row>
    <row r="58" spans="2:8" x14ac:dyDescent="0.2">
      <c r="B58" s="8"/>
      <c r="C58" s="9"/>
      <c r="D58" s="9"/>
      <c r="E58" s="10"/>
      <c r="F58" s="11"/>
      <c r="G58" s="12"/>
      <c r="H58" s="13"/>
    </row>
    <row r="59" spans="2:8" x14ac:dyDescent="0.2">
      <c r="B59" s="8"/>
      <c r="C59" s="9"/>
      <c r="D59" s="9"/>
      <c r="E59" s="10"/>
      <c r="F59" s="11"/>
      <c r="G59" s="12"/>
      <c r="H59" s="13"/>
    </row>
    <row r="60" spans="2:8" x14ac:dyDescent="0.2">
      <c r="B60" s="8"/>
      <c r="C60" s="9"/>
      <c r="D60" s="9"/>
      <c r="E60" s="10"/>
      <c r="F60" s="11"/>
      <c r="G60" s="12"/>
      <c r="H60" s="13"/>
    </row>
    <row r="61" spans="2:8" x14ac:dyDescent="0.2">
      <c r="B61" s="8"/>
      <c r="C61" s="9"/>
      <c r="D61" s="9"/>
      <c r="E61" s="10"/>
      <c r="F61" s="11"/>
      <c r="G61" s="12"/>
      <c r="H61" s="13"/>
    </row>
    <row r="62" spans="2:8" x14ac:dyDescent="0.2">
      <c r="B62" s="8"/>
      <c r="C62" s="9"/>
      <c r="D62" s="9"/>
      <c r="E62" s="10"/>
      <c r="F62" s="11"/>
      <c r="G62" s="12"/>
      <c r="H62" s="13"/>
    </row>
    <row r="63" spans="2:8" x14ac:dyDescent="0.2">
      <c r="B63" s="8"/>
      <c r="C63" s="9"/>
      <c r="D63" s="9"/>
      <c r="E63" s="10"/>
      <c r="F63" s="11"/>
      <c r="G63" s="12"/>
      <c r="H63" s="13"/>
    </row>
    <row r="64" spans="2:8" x14ac:dyDescent="0.2">
      <c r="B64" s="8"/>
      <c r="C64" s="9"/>
      <c r="D64" s="9"/>
      <c r="E64" s="10"/>
      <c r="F64" s="11"/>
      <c r="G64" s="12"/>
      <c r="H64" s="13"/>
    </row>
    <row r="65" spans="2:8" x14ac:dyDescent="0.2">
      <c r="B65" s="8"/>
      <c r="C65" s="9"/>
      <c r="D65" s="9"/>
      <c r="E65" s="10"/>
      <c r="F65" s="11"/>
      <c r="G65" s="12"/>
      <c r="H65" s="13"/>
    </row>
    <row r="66" spans="2:8" x14ac:dyDescent="0.2">
      <c r="B66" s="8"/>
      <c r="C66" s="9"/>
      <c r="D66" s="9"/>
      <c r="E66" s="10"/>
      <c r="F66" s="11"/>
      <c r="G66" s="12"/>
      <c r="H66" s="13"/>
    </row>
    <row r="67" spans="2:8" x14ac:dyDescent="0.2">
      <c r="B67" s="8"/>
      <c r="C67" s="9"/>
      <c r="D67" s="9"/>
      <c r="E67" s="10"/>
      <c r="F67" s="11"/>
      <c r="G67" s="12"/>
      <c r="H67" s="13"/>
    </row>
    <row r="68" spans="2:8" x14ac:dyDescent="0.2">
      <c r="B68" s="8"/>
      <c r="C68" s="9"/>
      <c r="D68" s="9"/>
      <c r="E68" s="10"/>
      <c r="F68" s="11"/>
      <c r="G68" s="12"/>
      <c r="H68" s="13"/>
    </row>
  </sheetData>
  <autoFilter ref="B6:H68" xr:uid="{C59BC6B0-8656-4FE4-8198-8FB66AA2275D}"/>
  <sortState xmlns:xlrd2="http://schemas.microsoft.com/office/spreadsheetml/2017/richdata2" ref="B7:H51">
    <sortCondition ref="D7:D51"/>
    <sortCondition ref="E7:E51"/>
  </sortState>
  <mergeCells count="3">
    <mergeCell ref="B2:H2"/>
    <mergeCell ref="B3:H3"/>
    <mergeCell ref="B4:H4"/>
  </mergeCells>
  <hyperlinks>
    <hyperlink ref="E12" r:id="rId1" xr:uid="{15C086F2-F597-4D51-B2E7-3FAD96221D78}"/>
    <hyperlink ref="E13" r:id="rId2" xr:uid="{8BB978DC-E232-48F0-9939-636AAC0E6406}"/>
    <hyperlink ref="F16" r:id="rId3" xr:uid="{92544A31-8743-4333-B41A-FC5AFE5A1056}"/>
    <hyperlink ref="F27" r:id="rId4" xr:uid="{82D17D54-F1FB-4528-8C20-0FDDE784D3DA}"/>
    <hyperlink ref="E17" r:id="rId5" xr:uid="{EAA12730-E964-4FF6-8B15-29788EDF5E5A}"/>
    <hyperlink ref="H17" r:id="rId6" xr:uid="{6126EC3D-FD40-4669-A1D5-C19D1CA3EBFE}"/>
    <hyperlink ref="E32" r:id="rId7" xr:uid="{DC0A551E-2043-4838-8B1D-E6890D4FF633}"/>
    <hyperlink ref="H32" r:id="rId8" xr:uid="{AF14144D-3EEB-40CC-BAC6-8BA7FEAC55F2}"/>
    <hyperlink ref="E46" r:id="rId9" xr:uid="{C6C76AED-9C33-4108-B05F-F32A6AE08B52}"/>
    <hyperlink ref="E47" r:id="rId10" xr:uid="{D5A0A6EC-E5D8-4323-869A-4E084BD0B677}"/>
    <hyperlink ref="E51" r:id="rId11" xr:uid="{69E6FD0B-CCBB-4BB0-9A43-EAB0015DCE11}"/>
    <hyperlink ref="E10" r:id="rId12" xr:uid="{2A9A4DB1-04E3-4AEC-9748-2C41FBA8890F}"/>
    <hyperlink ref="E35" r:id="rId13" xr:uid="{F7C616EB-3A49-4692-9217-779F9011DE23}"/>
    <hyperlink ref="F35" r:id="rId14" xr:uid="{4B10E67E-EC62-43AA-877D-FB5D2D4285F6}"/>
    <hyperlink ref="E41" r:id="rId15" xr:uid="{0BF73A89-B92E-425A-898F-37C7CBF042F2}"/>
    <hyperlink ref="F38" r:id="rId16" xr:uid="{B9116BFB-CDC1-45BA-8013-DFA7870403F1}"/>
    <hyperlink ref="E42" r:id="rId17" xr:uid="{C6309289-8973-412F-B925-7C6256933BAE}"/>
    <hyperlink ref="E48" r:id="rId18" xr:uid="{43D3E767-84D7-4B69-8536-7BE78B4A52EE}"/>
    <hyperlink ref="E36" r:id="rId19" xr:uid="{89E68C26-BCFC-43A5-BFA4-A8E225383626}"/>
    <hyperlink ref="F36" r:id="rId20" xr:uid="{C2258EE3-C9B0-4308-ACF5-D68174432934}"/>
    <hyperlink ref="E15" r:id="rId21" xr:uid="{24B9D316-C43F-4E45-A3FC-348F1BC5501D}"/>
    <hyperlink ref="F15" r:id="rId22" xr:uid="{CBCE9FA7-4504-4520-B59C-D974CE2099B7}"/>
    <hyperlink ref="E45" r:id="rId23" xr:uid="{882B7AAD-BDFB-4447-9C2B-52348FBCD628}"/>
    <hyperlink ref="F28" r:id="rId24" xr:uid="{8A6EA065-B212-4D58-A0AD-E8262CF84E9F}"/>
    <hyperlink ref="F11" r:id="rId25" xr:uid="{16FC9D2A-4AC9-4E47-9F68-1F6F2F32790A}"/>
    <hyperlink ref="H18" r:id="rId26" display="vcuevar@gmail.com" xr:uid="{2BC56FD7-7E2B-4127-AFB2-59B9E06C1F4A}"/>
    <hyperlink ref="F29" r:id="rId27" xr:uid="{9CB92F39-AC9F-45F8-AC0B-1815A7C53A4A}"/>
    <hyperlink ref="E26" r:id="rId28" xr:uid="{0EF4AF42-0D81-447F-93B9-DF4FCF6D4CC6}"/>
    <hyperlink ref="F30" r:id="rId29" xr:uid="{017BC6FC-67D7-4A13-A0A6-7BD83821710D}"/>
    <hyperlink ref="F33" r:id="rId30" xr:uid="{3D286E06-8871-42A2-8A69-3DAB4BED248A}"/>
    <hyperlink ref="E49" r:id="rId31" xr:uid="{1A05DF65-48E0-4812-9365-0C481CDA4F9A}"/>
    <hyperlink ref="H44" r:id="rId32" xr:uid="{28AB7F00-43CA-4D59-9E39-1B0D8D6C343F}"/>
  </hyperlinks>
  <pageMargins left="0.7" right="0.7" top="0.75" bottom="0.75" header="0.3" footer="0.3"/>
  <pageSetup paperSize="9" orientation="portrait" horizontalDpi="0" verticalDpi="0" r:id="rId33"/>
  <drawing r:id="rId34"/>
  <legacy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9082-AC22-49B6-949D-38C15B9951F8}">
  <sheetPr>
    <tabColor rgb="FFFF0066"/>
  </sheetPr>
  <dimension ref="A1:I58"/>
  <sheetViews>
    <sheetView showGridLines="0" workbookViewId="0">
      <pane ySplit="6" topLeftCell="A7" activePane="bottomLeft" state="frozen"/>
      <selection pane="bottomLeft" activeCell="B7" sqref="B7"/>
    </sheetView>
  </sheetViews>
  <sheetFormatPr baseColWidth="10" defaultRowHeight="15" x14ac:dyDescent="0.2"/>
  <cols>
    <col min="1" max="1" width="3.33203125" customWidth="1"/>
    <col min="2" max="2" width="9.88671875" bestFit="1" customWidth="1"/>
    <col min="3" max="3" width="7.6640625" bestFit="1" customWidth="1"/>
    <col min="4" max="4" width="12.6640625" bestFit="1" customWidth="1"/>
    <col min="5" max="5" width="31.21875" customWidth="1"/>
    <col min="6" max="6" width="24.88671875" bestFit="1" customWidth="1"/>
    <col min="7" max="7" width="13.21875" bestFit="1" customWidth="1"/>
    <col min="8" max="8" width="33" customWidth="1"/>
  </cols>
  <sheetData>
    <row r="1" spans="1:9" ht="15.75" x14ac:dyDescent="0.25">
      <c r="A1" s="2"/>
      <c r="B1" s="2"/>
      <c r="C1" s="2"/>
      <c r="D1" s="2"/>
      <c r="E1" s="2"/>
      <c r="F1" s="7"/>
      <c r="G1" s="6"/>
      <c r="H1" s="2"/>
    </row>
    <row r="2" spans="1:9" ht="23.25" x14ac:dyDescent="0.35">
      <c r="A2" s="2"/>
      <c r="B2" s="71" t="s">
        <v>162</v>
      </c>
      <c r="C2" s="74"/>
      <c r="D2" s="74"/>
      <c r="E2" s="74"/>
      <c r="F2" s="74"/>
      <c r="G2" s="74"/>
      <c r="H2" s="74"/>
    </row>
    <row r="3" spans="1:9" ht="20.25" x14ac:dyDescent="0.3">
      <c r="A3" s="2"/>
      <c r="B3" s="72" t="s">
        <v>161</v>
      </c>
      <c r="C3" s="74"/>
      <c r="D3" s="74"/>
      <c r="E3" s="74"/>
      <c r="F3" s="74"/>
      <c r="G3" s="74"/>
      <c r="H3" s="74"/>
    </row>
    <row r="4" spans="1:9" ht="18.75" x14ac:dyDescent="0.3">
      <c r="A4" s="2"/>
      <c r="B4" s="73">
        <f>MAX(B6:B347)</f>
        <v>45968</v>
      </c>
      <c r="C4" s="74"/>
      <c r="D4" s="74"/>
      <c r="E4" s="74"/>
      <c r="F4" s="74"/>
      <c r="G4" s="74"/>
      <c r="H4" s="74"/>
      <c r="I4" t="s">
        <v>371</v>
      </c>
    </row>
    <row r="5" spans="1:9" ht="18" x14ac:dyDescent="0.25">
      <c r="A5" s="2"/>
      <c r="B5" s="2"/>
      <c r="C5" s="3"/>
      <c r="D5" s="3"/>
      <c r="E5" s="5"/>
      <c r="F5" s="3"/>
      <c r="G5" s="4"/>
      <c r="H5" s="3"/>
    </row>
    <row r="6" spans="1:9" ht="30" x14ac:dyDescent="0.2">
      <c r="A6" s="1"/>
      <c r="B6" s="29" t="s">
        <v>160</v>
      </c>
      <c r="C6" s="29" t="s">
        <v>159</v>
      </c>
      <c r="D6" s="29" t="s">
        <v>158</v>
      </c>
      <c r="E6" s="29" t="s">
        <v>157</v>
      </c>
      <c r="F6" s="29" t="s">
        <v>156</v>
      </c>
      <c r="G6" s="29" t="s">
        <v>155</v>
      </c>
      <c r="H6" s="29" t="s">
        <v>154</v>
      </c>
    </row>
    <row r="7" spans="1:9" x14ac:dyDescent="0.2">
      <c r="B7" s="8">
        <v>45435</v>
      </c>
      <c r="C7" s="9" t="s">
        <v>4</v>
      </c>
      <c r="D7" s="9" t="s">
        <v>26</v>
      </c>
      <c r="E7" s="26" t="s">
        <v>25</v>
      </c>
      <c r="F7" s="11" t="s">
        <v>24</v>
      </c>
      <c r="G7" s="12" t="s">
        <v>23</v>
      </c>
      <c r="H7" s="27" t="s">
        <v>22</v>
      </c>
    </row>
    <row r="8" spans="1:9" x14ac:dyDescent="0.2">
      <c r="B8" s="8">
        <v>45033</v>
      </c>
      <c r="C8" s="9" t="s">
        <v>4</v>
      </c>
      <c r="D8" s="9" t="s">
        <v>3</v>
      </c>
      <c r="E8" s="10" t="s">
        <v>2</v>
      </c>
      <c r="F8" s="11" t="s">
        <v>21</v>
      </c>
      <c r="G8" s="14" t="s">
        <v>20</v>
      </c>
      <c r="H8" s="13" t="s">
        <v>19</v>
      </c>
    </row>
    <row r="9" spans="1:9" x14ac:dyDescent="0.2">
      <c r="B9" s="8">
        <v>45434</v>
      </c>
      <c r="C9" s="9" t="s">
        <v>4</v>
      </c>
      <c r="D9" s="9" t="s">
        <v>3</v>
      </c>
      <c r="E9" s="10" t="s">
        <v>2</v>
      </c>
      <c r="F9" s="11" t="s">
        <v>1</v>
      </c>
      <c r="G9" s="12" t="s">
        <v>0</v>
      </c>
      <c r="H9" s="13"/>
    </row>
    <row r="10" spans="1:9" x14ac:dyDescent="0.2">
      <c r="B10" s="8">
        <v>45880</v>
      </c>
      <c r="C10" s="9" t="s">
        <v>4</v>
      </c>
      <c r="D10" s="9" t="s">
        <v>429</v>
      </c>
      <c r="E10" s="10" t="s">
        <v>428</v>
      </c>
      <c r="F10" s="11"/>
      <c r="G10" s="12"/>
      <c r="H10" s="13" t="s">
        <v>430</v>
      </c>
    </row>
    <row r="11" spans="1:9" x14ac:dyDescent="0.2">
      <c r="B11" s="8">
        <v>45828</v>
      </c>
      <c r="C11" s="9" t="s">
        <v>4</v>
      </c>
      <c r="D11" s="9" t="s">
        <v>354</v>
      </c>
      <c r="E11" s="10" t="s">
        <v>382</v>
      </c>
      <c r="F11" s="11" t="s">
        <v>383</v>
      </c>
      <c r="G11" s="12" t="s">
        <v>385</v>
      </c>
      <c r="H11" s="13" t="s">
        <v>384</v>
      </c>
    </row>
    <row r="12" spans="1:9" x14ac:dyDescent="0.2">
      <c r="B12" s="8">
        <v>45768</v>
      </c>
      <c r="C12" s="9" t="s">
        <v>4</v>
      </c>
      <c r="D12" s="9" t="s">
        <v>354</v>
      </c>
      <c r="E12" s="10" t="s">
        <v>356</v>
      </c>
      <c r="F12" s="11" t="s">
        <v>355</v>
      </c>
      <c r="G12" s="12"/>
      <c r="H12" s="13" t="s">
        <v>357</v>
      </c>
    </row>
    <row r="13" spans="1:9" x14ac:dyDescent="0.2">
      <c r="B13" s="8">
        <v>45509</v>
      </c>
      <c r="C13" s="9" t="s">
        <v>4</v>
      </c>
      <c r="D13" s="9" t="s">
        <v>354</v>
      </c>
      <c r="E13" s="10" t="s">
        <v>442</v>
      </c>
      <c r="F13" s="11" t="s">
        <v>314</v>
      </c>
      <c r="G13" s="12" t="s">
        <v>315</v>
      </c>
      <c r="H13" s="13" t="s">
        <v>316</v>
      </c>
    </row>
    <row r="14" spans="1:9" ht="75" x14ac:dyDescent="0.2">
      <c r="B14" s="8">
        <v>45768</v>
      </c>
      <c r="C14" s="9" t="s">
        <v>4</v>
      </c>
      <c r="D14" s="9" t="s">
        <v>354</v>
      </c>
      <c r="E14" s="10" t="s">
        <v>358</v>
      </c>
      <c r="F14" s="11" t="s">
        <v>359</v>
      </c>
      <c r="G14" s="12"/>
      <c r="H14" s="13" t="s">
        <v>360</v>
      </c>
    </row>
    <row r="15" spans="1:9" x14ac:dyDescent="0.2">
      <c r="B15" s="8">
        <v>45880</v>
      </c>
      <c r="C15" s="9" t="s">
        <v>4</v>
      </c>
      <c r="D15" s="9" t="s">
        <v>426</v>
      </c>
      <c r="E15" s="10" t="s">
        <v>425</v>
      </c>
      <c r="F15" s="20" t="s">
        <v>314</v>
      </c>
      <c r="G15" s="12" t="s">
        <v>23</v>
      </c>
      <c r="H15" s="13" t="s">
        <v>427</v>
      </c>
    </row>
    <row r="16" spans="1:9" x14ac:dyDescent="0.2">
      <c r="B16" s="8">
        <v>45508</v>
      </c>
      <c r="C16" s="9" t="s">
        <v>4</v>
      </c>
      <c r="D16" s="9" t="s">
        <v>317</v>
      </c>
      <c r="E16" s="10" t="s">
        <v>318</v>
      </c>
      <c r="F16" s="11" t="s">
        <v>319</v>
      </c>
      <c r="G16" s="12" t="s">
        <v>84</v>
      </c>
      <c r="H16" s="13" t="s">
        <v>320</v>
      </c>
    </row>
    <row r="17" spans="2:8" x14ac:dyDescent="0.2">
      <c r="B17" s="8">
        <v>45666</v>
      </c>
      <c r="C17" s="9" t="s">
        <v>4</v>
      </c>
      <c r="D17" s="9" t="s">
        <v>317</v>
      </c>
      <c r="E17" s="10" t="s">
        <v>318</v>
      </c>
      <c r="F17" s="11" t="s">
        <v>344</v>
      </c>
      <c r="G17" s="12" t="s">
        <v>84</v>
      </c>
      <c r="H17" s="13" t="s">
        <v>370</v>
      </c>
    </row>
    <row r="18" spans="2:8" x14ac:dyDescent="0.2">
      <c r="B18" s="8">
        <v>45666</v>
      </c>
      <c r="C18" s="9" t="s">
        <v>4</v>
      </c>
      <c r="D18" s="9" t="s">
        <v>317</v>
      </c>
      <c r="E18" s="10" t="s">
        <v>340</v>
      </c>
      <c r="F18" s="11" t="s">
        <v>341</v>
      </c>
      <c r="G18" s="12" t="s">
        <v>84</v>
      </c>
      <c r="H18" s="13" t="s">
        <v>342</v>
      </c>
    </row>
    <row r="19" spans="2:8" x14ac:dyDescent="0.2">
      <c r="B19" s="8">
        <v>45968</v>
      </c>
      <c r="C19" s="9" t="s">
        <v>4</v>
      </c>
      <c r="D19" s="9" t="s">
        <v>471</v>
      </c>
      <c r="E19" s="10" t="s">
        <v>469</v>
      </c>
      <c r="F19" s="11"/>
      <c r="G19" s="12" t="s">
        <v>470</v>
      </c>
      <c r="H19" s="13" t="s">
        <v>468</v>
      </c>
    </row>
    <row r="20" spans="2:8" x14ac:dyDescent="0.2">
      <c r="B20" s="8">
        <v>45831</v>
      </c>
      <c r="C20" s="9" t="s">
        <v>4</v>
      </c>
      <c r="D20" s="9" t="s">
        <v>386</v>
      </c>
      <c r="E20" s="10" t="s">
        <v>391</v>
      </c>
      <c r="F20" s="11" t="s">
        <v>387</v>
      </c>
      <c r="G20" s="12" t="s">
        <v>388</v>
      </c>
      <c r="H20" s="43" t="s">
        <v>393</v>
      </c>
    </row>
    <row r="21" spans="2:8" x14ac:dyDescent="0.2">
      <c r="B21" s="8">
        <v>45828</v>
      </c>
      <c r="C21" s="9" t="s">
        <v>4</v>
      </c>
      <c r="D21" s="9" t="s">
        <v>386</v>
      </c>
      <c r="E21" s="10" t="s">
        <v>391</v>
      </c>
      <c r="F21" s="11" t="s">
        <v>389</v>
      </c>
      <c r="G21" s="12" t="s">
        <v>133</v>
      </c>
      <c r="H21" s="13" t="s">
        <v>390</v>
      </c>
    </row>
    <row r="22" spans="2:8" x14ac:dyDescent="0.2">
      <c r="B22" s="8">
        <v>45790</v>
      </c>
      <c r="C22" s="9" t="s">
        <v>4</v>
      </c>
      <c r="D22" s="9" t="s">
        <v>366</v>
      </c>
      <c r="E22" s="10" t="s">
        <v>367</v>
      </c>
      <c r="F22" s="11" t="s">
        <v>344</v>
      </c>
      <c r="G22" s="12" t="s">
        <v>368</v>
      </c>
      <c r="H22" s="13" t="s">
        <v>369</v>
      </c>
    </row>
    <row r="23" spans="2:8" x14ac:dyDescent="0.2">
      <c r="B23" s="8">
        <v>45889</v>
      </c>
      <c r="C23" s="9" t="s">
        <v>4</v>
      </c>
      <c r="D23" s="9" t="s">
        <v>366</v>
      </c>
      <c r="E23" s="10"/>
      <c r="F23" s="11" t="s">
        <v>438</v>
      </c>
      <c r="G23" s="12"/>
      <c r="H23" s="13"/>
    </row>
    <row r="24" spans="2:8" x14ac:dyDescent="0.2">
      <c r="B24" s="8">
        <v>44606</v>
      </c>
      <c r="C24" s="9" t="s">
        <v>4</v>
      </c>
      <c r="D24" s="9" t="s">
        <v>14</v>
      </c>
      <c r="E24" s="10" t="s">
        <v>321</v>
      </c>
      <c r="F24" s="11" t="s">
        <v>322</v>
      </c>
      <c r="G24" s="12" t="s">
        <v>11</v>
      </c>
      <c r="H24" s="13" t="s">
        <v>323</v>
      </c>
    </row>
    <row r="25" spans="2:8" x14ac:dyDescent="0.2">
      <c r="B25" s="8">
        <v>45505</v>
      </c>
      <c r="C25" s="9" t="s">
        <v>4</v>
      </c>
      <c r="D25" s="9" t="s">
        <v>14</v>
      </c>
      <c r="E25" s="10" t="s">
        <v>13</v>
      </c>
      <c r="F25" s="20" t="s">
        <v>12</v>
      </c>
      <c r="G25" s="14" t="s">
        <v>11</v>
      </c>
      <c r="H25" s="13" t="s">
        <v>10</v>
      </c>
    </row>
    <row r="26" spans="2:8" x14ac:dyDescent="0.2">
      <c r="B26" s="8">
        <v>45043</v>
      </c>
      <c r="C26" s="9" t="s">
        <v>4</v>
      </c>
      <c r="D26" s="9" t="s">
        <v>18</v>
      </c>
      <c r="E26" s="10" t="s">
        <v>17</v>
      </c>
      <c r="F26" s="11">
        <v>1059</v>
      </c>
      <c r="G26" s="14" t="s">
        <v>16</v>
      </c>
      <c r="H26" s="13" t="s">
        <v>15</v>
      </c>
    </row>
    <row r="27" spans="2:8" x14ac:dyDescent="0.2">
      <c r="B27" s="8">
        <v>45043</v>
      </c>
      <c r="C27" s="9" t="s">
        <v>4</v>
      </c>
      <c r="D27" s="9" t="s">
        <v>18</v>
      </c>
      <c r="E27" s="10" t="s">
        <v>17</v>
      </c>
      <c r="F27" s="11">
        <v>1059</v>
      </c>
      <c r="G27" s="12" t="s">
        <v>16</v>
      </c>
      <c r="H27" s="13" t="s">
        <v>15</v>
      </c>
    </row>
    <row r="28" spans="2:8" x14ac:dyDescent="0.2">
      <c r="B28" s="8">
        <v>45043</v>
      </c>
      <c r="C28" s="9" t="s">
        <v>4</v>
      </c>
      <c r="D28" s="9" t="s">
        <v>18</v>
      </c>
      <c r="E28" s="10" t="s">
        <v>324</v>
      </c>
      <c r="F28" s="11" t="s">
        <v>325</v>
      </c>
      <c r="G28" s="12" t="s">
        <v>326</v>
      </c>
      <c r="H28" s="13" t="s">
        <v>15</v>
      </c>
    </row>
    <row r="29" spans="2:8" x14ac:dyDescent="0.2">
      <c r="B29" s="8">
        <v>45835</v>
      </c>
      <c r="C29" s="9" t="s">
        <v>4</v>
      </c>
      <c r="D29" s="9" t="s">
        <v>5</v>
      </c>
      <c r="E29" s="10" t="s">
        <v>403</v>
      </c>
      <c r="F29" s="11" t="s">
        <v>329</v>
      </c>
      <c r="G29" s="12" t="s">
        <v>346</v>
      </c>
      <c r="H29" s="13" t="s">
        <v>424</v>
      </c>
    </row>
    <row r="30" spans="2:8" x14ac:dyDescent="0.2">
      <c r="B30" s="8">
        <v>45664</v>
      </c>
      <c r="C30" s="9" t="s">
        <v>4</v>
      </c>
      <c r="D30" s="9" t="s">
        <v>5</v>
      </c>
      <c r="E30" s="10" t="s">
        <v>345</v>
      </c>
      <c r="F30" s="11" t="s">
        <v>329</v>
      </c>
      <c r="G30" s="12" t="s">
        <v>346</v>
      </c>
      <c r="H30" s="13" t="s">
        <v>347</v>
      </c>
    </row>
    <row r="31" spans="2:8" x14ac:dyDescent="0.2">
      <c r="B31" s="8">
        <v>44661</v>
      </c>
      <c r="C31" s="9" t="s">
        <v>4</v>
      </c>
      <c r="D31" s="9" t="s">
        <v>5</v>
      </c>
      <c r="E31" s="10" t="s">
        <v>343</v>
      </c>
      <c r="F31" s="11" t="s">
        <v>344</v>
      </c>
      <c r="G31" s="12" t="s">
        <v>112</v>
      </c>
      <c r="H31" s="13"/>
    </row>
    <row r="32" spans="2:8" x14ac:dyDescent="0.2">
      <c r="B32" s="8">
        <v>43613</v>
      </c>
      <c r="C32" s="9" t="s">
        <v>4</v>
      </c>
      <c r="D32" s="9" t="s">
        <v>327</v>
      </c>
      <c r="E32" s="10" t="s">
        <v>328</v>
      </c>
      <c r="F32" s="11" t="s">
        <v>329</v>
      </c>
      <c r="G32" s="12" t="s">
        <v>330</v>
      </c>
      <c r="H32" s="13" t="s">
        <v>331</v>
      </c>
    </row>
    <row r="33" spans="2:8" x14ac:dyDescent="0.2">
      <c r="B33" s="8">
        <v>43665</v>
      </c>
      <c r="C33" s="9" t="s">
        <v>4</v>
      </c>
      <c r="D33" s="9" t="s">
        <v>327</v>
      </c>
      <c r="E33" s="10" t="s">
        <v>328</v>
      </c>
      <c r="F33" s="11" t="s">
        <v>329</v>
      </c>
      <c r="G33" s="12" t="s">
        <v>332</v>
      </c>
      <c r="H33" s="13" t="s">
        <v>333</v>
      </c>
    </row>
    <row r="34" spans="2:8" x14ac:dyDescent="0.2">
      <c r="B34" s="8">
        <v>45755</v>
      </c>
      <c r="C34" s="9" t="s">
        <v>4</v>
      </c>
      <c r="D34" s="9" t="s">
        <v>306</v>
      </c>
      <c r="E34" s="10" t="s">
        <v>307</v>
      </c>
      <c r="F34" s="11" t="s">
        <v>308</v>
      </c>
      <c r="G34" s="12" t="s">
        <v>309</v>
      </c>
      <c r="H34" s="13" t="s">
        <v>310</v>
      </c>
    </row>
    <row r="35" spans="2:8" x14ac:dyDescent="0.2">
      <c r="B35" s="8">
        <v>45035</v>
      </c>
      <c r="C35" s="9" t="s">
        <v>4</v>
      </c>
      <c r="D35" s="9" t="s">
        <v>306</v>
      </c>
      <c r="E35" s="30" t="s">
        <v>307</v>
      </c>
      <c r="F35" s="11" t="s">
        <v>308</v>
      </c>
      <c r="G35" s="12" t="s">
        <v>309</v>
      </c>
      <c r="H35" s="13" t="s">
        <v>310</v>
      </c>
    </row>
    <row r="36" spans="2:8" x14ac:dyDescent="0.2">
      <c r="B36" s="8">
        <v>45540</v>
      </c>
      <c r="C36" s="9" t="s">
        <v>4</v>
      </c>
      <c r="D36" s="9" t="s">
        <v>334</v>
      </c>
      <c r="E36" s="10" t="s">
        <v>335</v>
      </c>
      <c r="F36" s="11" t="s">
        <v>336</v>
      </c>
      <c r="G36" s="12" t="s">
        <v>337</v>
      </c>
      <c r="H36" s="13" t="s">
        <v>338</v>
      </c>
    </row>
    <row r="37" spans="2:8" x14ac:dyDescent="0.2">
      <c r="B37" s="8">
        <v>45726</v>
      </c>
      <c r="C37" s="9" t="s">
        <v>4</v>
      </c>
      <c r="D37" s="9" t="s">
        <v>300</v>
      </c>
      <c r="E37" s="10" t="s">
        <v>303</v>
      </c>
      <c r="F37" s="11" t="s">
        <v>301</v>
      </c>
      <c r="G37" s="12" t="s">
        <v>192</v>
      </c>
      <c r="H37" s="13" t="s">
        <v>302</v>
      </c>
    </row>
    <row r="38" spans="2:8" x14ac:dyDescent="0.2">
      <c r="B38" s="8">
        <v>45726</v>
      </c>
      <c r="C38" s="9" t="s">
        <v>4</v>
      </c>
      <c r="D38" s="9" t="s">
        <v>300</v>
      </c>
      <c r="E38" s="10" t="s">
        <v>303</v>
      </c>
      <c r="F38" s="11" t="s">
        <v>304</v>
      </c>
      <c r="G38" s="12" t="s">
        <v>192</v>
      </c>
      <c r="H38" s="13" t="s">
        <v>305</v>
      </c>
    </row>
    <row r="39" spans="2:8" x14ac:dyDescent="0.2">
      <c r="B39" s="8">
        <v>45827</v>
      </c>
      <c r="C39" s="9" t="s">
        <v>4</v>
      </c>
      <c r="D39" s="9" t="s">
        <v>300</v>
      </c>
      <c r="E39" s="10" t="s">
        <v>377</v>
      </c>
      <c r="F39" s="11" t="s">
        <v>378</v>
      </c>
      <c r="G39" s="14" t="s">
        <v>379</v>
      </c>
      <c r="H39" s="13" t="s">
        <v>380</v>
      </c>
    </row>
    <row r="40" spans="2:8" x14ac:dyDescent="0.2">
      <c r="B40" s="8">
        <v>45866</v>
      </c>
      <c r="C40" s="9" t="s">
        <v>4</v>
      </c>
      <c r="D40" s="9" t="s">
        <v>409</v>
      </c>
      <c r="E40" s="30" t="s">
        <v>422</v>
      </c>
      <c r="F40" s="11"/>
      <c r="G40" s="12"/>
      <c r="H40" s="13" t="s">
        <v>423</v>
      </c>
    </row>
    <row r="41" spans="2:8" x14ac:dyDescent="0.2">
      <c r="B41" s="8">
        <v>45854</v>
      </c>
      <c r="C41" s="9" t="s">
        <v>4</v>
      </c>
      <c r="D41" s="9" t="s">
        <v>409</v>
      </c>
      <c r="E41" s="10" t="s">
        <v>398</v>
      </c>
      <c r="F41" s="11" t="s">
        <v>410</v>
      </c>
      <c r="G41" s="12" t="s">
        <v>411</v>
      </c>
      <c r="H41" s="13" t="s">
        <v>415</v>
      </c>
    </row>
    <row r="42" spans="2:8" x14ac:dyDescent="0.2">
      <c r="B42" s="8">
        <v>45862</v>
      </c>
      <c r="C42" s="9" t="s">
        <v>4</v>
      </c>
      <c r="D42" s="9" t="s">
        <v>409</v>
      </c>
      <c r="E42" s="10" t="s">
        <v>419</v>
      </c>
      <c r="F42" s="11" t="s">
        <v>417</v>
      </c>
      <c r="G42" s="12" t="s">
        <v>418</v>
      </c>
      <c r="H42" s="13" t="s">
        <v>415</v>
      </c>
    </row>
    <row r="43" spans="2:8" x14ac:dyDescent="0.2">
      <c r="B43" s="8">
        <v>45854</v>
      </c>
      <c r="C43" s="9" t="s">
        <v>4</v>
      </c>
      <c r="D43" s="9" t="s">
        <v>409</v>
      </c>
      <c r="E43" s="10" t="s">
        <v>412</v>
      </c>
      <c r="F43" s="11" t="s">
        <v>413</v>
      </c>
      <c r="G43" s="12" t="s">
        <v>414</v>
      </c>
      <c r="H43" s="13" t="s">
        <v>415</v>
      </c>
    </row>
    <row r="44" spans="2:8" x14ac:dyDescent="0.2">
      <c r="B44" s="8">
        <v>45835</v>
      </c>
      <c r="C44" s="9" t="s">
        <v>4</v>
      </c>
      <c r="D44" s="9" t="s">
        <v>397</v>
      </c>
      <c r="E44" s="10" t="s">
        <v>398</v>
      </c>
      <c r="F44" s="11" t="s">
        <v>378</v>
      </c>
      <c r="G44" s="12" t="s">
        <v>399</v>
      </c>
      <c r="H44" s="13" t="s">
        <v>416</v>
      </c>
    </row>
    <row r="45" spans="2:8" x14ac:dyDescent="0.2">
      <c r="B45" s="8">
        <v>45554</v>
      </c>
      <c r="C45" s="9" t="s">
        <v>4</v>
      </c>
      <c r="D45" s="9" t="s">
        <v>9</v>
      </c>
      <c r="E45" s="10" t="s">
        <v>8</v>
      </c>
      <c r="F45" s="11" t="s">
        <v>7</v>
      </c>
      <c r="G45" s="14" t="s">
        <v>6</v>
      </c>
      <c r="H45" s="13" t="s">
        <v>5</v>
      </c>
    </row>
    <row r="46" spans="2:8" x14ac:dyDescent="0.2">
      <c r="B46" s="44">
        <v>45545</v>
      </c>
      <c r="C46" s="45" t="s">
        <v>4</v>
      </c>
      <c r="D46" s="45" t="s">
        <v>9</v>
      </c>
      <c r="E46" s="46" t="s">
        <v>339</v>
      </c>
      <c r="F46" s="47" t="s">
        <v>7</v>
      </c>
      <c r="G46" s="48" t="s">
        <v>6</v>
      </c>
      <c r="H46" s="49" t="s">
        <v>439</v>
      </c>
    </row>
    <row r="47" spans="2:8" x14ac:dyDescent="0.2">
      <c r="B47" s="8">
        <v>45887</v>
      </c>
      <c r="C47" s="9" t="s">
        <v>4</v>
      </c>
      <c r="D47" s="9" t="s">
        <v>9</v>
      </c>
      <c r="E47" s="10" t="s">
        <v>440</v>
      </c>
      <c r="F47" s="11" t="s">
        <v>7</v>
      </c>
      <c r="G47" s="12" t="s">
        <v>6</v>
      </c>
      <c r="H47" s="13" t="s">
        <v>441</v>
      </c>
    </row>
    <row r="48" spans="2:8" x14ac:dyDescent="0.2">
      <c r="B48" s="8">
        <v>45835</v>
      </c>
      <c r="C48" s="9" t="s">
        <v>4</v>
      </c>
      <c r="D48" s="9" t="s">
        <v>400</v>
      </c>
      <c r="E48" s="10" t="s">
        <v>401</v>
      </c>
      <c r="F48" s="11" t="s">
        <v>402</v>
      </c>
      <c r="G48" s="12" t="s">
        <v>6</v>
      </c>
      <c r="H48" s="13" t="s">
        <v>416</v>
      </c>
    </row>
    <row r="49" spans="2:8" x14ac:dyDescent="0.2">
      <c r="B49" s="8"/>
      <c r="C49" s="9"/>
      <c r="D49" s="9"/>
      <c r="E49" s="10"/>
      <c r="F49" s="11"/>
      <c r="G49" s="12"/>
      <c r="H49" s="13"/>
    </row>
    <row r="50" spans="2:8" x14ac:dyDescent="0.2">
      <c r="B50" s="8"/>
      <c r="C50" s="9"/>
      <c r="D50" s="9"/>
      <c r="E50" s="10"/>
      <c r="F50" s="11"/>
      <c r="G50" s="12"/>
      <c r="H50" s="13"/>
    </row>
    <row r="51" spans="2:8" x14ac:dyDescent="0.2">
      <c r="B51" s="8"/>
      <c r="C51" s="9"/>
      <c r="D51" s="9"/>
      <c r="E51" s="10"/>
      <c r="F51" s="11"/>
      <c r="G51" s="12"/>
      <c r="H51" s="13"/>
    </row>
    <row r="52" spans="2:8" x14ac:dyDescent="0.2">
      <c r="B52" s="8"/>
      <c r="C52" s="9"/>
      <c r="D52" s="9"/>
      <c r="E52" s="10"/>
      <c r="F52" s="11"/>
      <c r="G52" s="12"/>
      <c r="H52" s="13"/>
    </row>
    <row r="53" spans="2:8" x14ac:dyDescent="0.2">
      <c r="B53" s="8"/>
      <c r="C53" s="9"/>
      <c r="D53" s="9"/>
      <c r="E53" s="10"/>
      <c r="F53" s="11"/>
      <c r="G53" s="12"/>
      <c r="H53" s="13"/>
    </row>
    <row r="54" spans="2:8" x14ac:dyDescent="0.2">
      <c r="B54" s="8"/>
      <c r="C54" s="9"/>
      <c r="D54" s="9"/>
      <c r="E54" s="10"/>
      <c r="F54" s="11"/>
      <c r="G54" s="12"/>
      <c r="H54" s="13"/>
    </row>
    <row r="55" spans="2:8" x14ac:dyDescent="0.2">
      <c r="B55" s="8"/>
      <c r="C55" s="9"/>
      <c r="D55" s="9"/>
      <c r="E55" s="10"/>
      <c r="F55" s="11"/>
      <c r="G55" s="12"/>
      <c r="H55" s="13"/>
    </row>
    <row r="56" spans="2:8" x14ac:dyDescent="0.2">
      <c r="B56" s="8"/>
      <c r="C56" s="9"/>
      <c r="D56" s="9"/>
      <c r="E56" s="10"/>
      <c r="F56" s="11"/>
      <c r="G56" s="12"/>
      <c r="H56" s="13"/>
    </row>
    <row r="57" spans="2:8" x14ac:dyDescent="0.2">
      <c r="B57" s="8"/>
      <c r="C57" s="9"/>
      <c r="D57" s="9"/>
      <c r="E57" s="10"/>
      <c r="F57" s="11"/>
      <c r="G57" s="12"/>
      <c r="H57" s="13"/>
    </row>
    <row r="58" spans="2:8" x14ac:dyDescent="0.2">
      <c r="B58" s="8"/>
      <c r="C58" s="9"/>
      <c r="D58" s="9"/>
      <c r="E58" s="10"/>
      <c r="F58" s="11"/>
      <c r="G58" s="12"/>
      <c r="H58" s="13"/>
    </row>
  </sheetData>
  <autoFilter ref="B6:H19" xr:uid="{C59BC6B0-8656-4FE4-8198-8FB66AA2275D}"/>
  <sortState xmlns:xlrd2="http://schemas.microsoft.com/office/spreadsheetml/2017/richdata2" ref="B7:H48">
    <sortCondition ref="D7:D48"/>
    <sortCondition ref="E7:E48"/>
  </sortState>
  <mergeCells count="3">
    <mergeCell ref="B2:H2"/>
    <mergeCell ref="B3:H3"/>
    <mergeCell ref="B4:H4"/>
  </mergeCells>
  <hyperlinks>
    <hyperlink ref="H7" r:id="rId1" xr:uid="{2B9393DA-1406-4AF5-9FF3-4B1125176216}"/>
    <hyperlink ref="F25" r:id="rId2" xr:uid="{5B237A66-5FDE-4792-A467-F5CF07D5DCC1}"/>
    <hyperlink ref="E34" r:id="rId3" xr:uid="{F409CE32-EBE8-4BE9-B305-3F871B965A46}"/>
    <hyperlink ref="E12" r:id="rId4" display="zarkinsoporte@gmail.com" xr:uid="{2A7B02A3-3463-45FA-AE4B-C33F6CF7FA15}"/>
    <hyperlink ref="F14" r:id="rId5" xr:uid="{E3462E40-C391-4B83-8473-009ED89E7CEE}"/>
    <hyperlink ref="G43" r:id="rId6" xr:uid="{A009C80D-5058-4AFD-9D0B-55B518C466B9}"/>
    <hyperlink ref="G42" r:id="rId7" display="Zarkin@2025" xr:uid="{917C7D59-7AFC-418D-B624-A9A855335A83}"/>
    <hyperlink ref="E40" r:id="rId8" xr:uid="{0331E833-D86E-4B37-A89F-9FBF09AD7385}"/>
    <hyperlink ref="F15" r:id="rId9" xr:uid="{202FA394-F494-410C-A882-D2CFF22984C4}"/>
    <hyperlink ref="E35" r:id="rId10" xr:uid="{FA9891FC-1642-4FC7-8837-71D5A2C598B9}"/>
  </hyperlinks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01E8-22E3-49FD-8B10-41FFB851A25C}">
  <sheetPr>
    <tabColor rgb="FFFF0066"/>
  </sheetPr>
  <dimension ref="A1:H60"/>
  <sheetViews>
    <sheetView showGridLines="0" topLeftCell="B1" workbookViewId="0">
      <pane ySplit="6" topLeftCell="A7" activePane="bottomLeft" state="frozen"/>
      <selection pane="bottomLeft" activeCell="B6" sqref="B6"/>
    </sheetView>
  </sheetViews>
  <sheetFormatPr baseColWidth="10" defaultRowHeight="15" x14ac:dyDescent="0.2"/>
  <cols>
    <col min="1" max="1" width="3.33203125" customWidth="1"/>
    <col min="2" max="2" width="9.88671875" bestFit="1" customWidth="1"/>
    <col min="3" max="3" width="7.6640625" bestFit="1" customWidth="1"/>
    <col min="4" max="4" width="12.6640625" bestFit="1" customWidth="1"/>
    <col min="5" max="5" width="31.21875" customWidth="1"/>
    <col min="6" max="6" width="24.88671875" bestFit="1" customWidth="1"/>
    <col min="7" max="7" width="13.21875" bestFit="1" customWidth="1"/>
    <col min="8" max="8" width="33" customWidth="1"/>
  </cols>
  <sheetData>
    <row r="1" spans="1:8" ht="15.75" x14ac:dyDescent="0.25">
      <c r="A1" s="2"/>
      <c r="B1" s="2"/>
      <c r="C1" s="2"/>
      <c r="D1" s="2"/>
      <c r="E1" s="2"/>
      <c r="F1" s="7"/>
      <c r="G1" s="6"/>
      <c r="H1" s="2"/>
    </row>
    <row r="2" spans="1:8" ht="23.25" x14ac:dyDescent="0.35">
      <c r="A2" s="2"/>
      <c r="B2" s="71" t="s">
        <v>162</v>
      </c>
      <c r="C2" s="74"/>
      <c r="D2" s="74"/>
      <c r="E2" s="74"/>
      <c r="F2" s="74"/>
      <c r="G2" s="74"/>
      <c r="H2" s="74"/>
    </row>
    <row r="3" spans="1:8" ht="20.25" x14ac:dyDescent="0.3">
      <c r="A3" s="2"/>
      <c r="B3" s="72" t="s">
        <v>161</v>
      </c>
      <c r="C3" s="74"/>
      <c r="D3" s="74"/>
      <c r="E3" s="74"/>
      <c r="F3" s="74"/>
      <c r="G3" s="74"/>
      <c r="H3" s="74"/>
    </row>
    <row r="4" spans="1:8" ht="18.75" x14ac:dyDescent="0.3">
      <c r="A4" s="2"/>
      <c r="B4" s="73">
        <f>MAX(B6:B381)</f>
        <v>45770</v>
      </c>
      <c r="C4" s="74"/>
      <c r="D4" s="74"/>
      <c r="E4" s="74"/>
      <c r="F4" s="74"/>
      <c r="G4" s="74"/>
      <c r="H4" s="74"/>
    </row>
    <row r="5" spans="1:8" ht="18" x14ac:dyDescent="0.25">
      <c r="A5" s="2"/>
      <c r="B5" s="2"/>
      <c r="C5" s="3"/>
      <c r="D5" s="3"/>
      <c r="E5" s="5"/>
      <c r="F5" s="3"/>
      <c r="G5" s="4"/>
      <c r="H5" s="3"/>
    </row>
    <row r="6" spans="1:8" ht="30" x14ac:dyDescent="0.2">
      <c r="A6" s="1"/>
      <c r="B6" s="29" t="s">
        <v>160</v>
      </c>
      <c r="C6" s="29" t="s">
        <v>159</v>
      </c>
      <c r="D6" s="29" t="s">
        <v>158</v>
      </c>
      <c r="E6" s="29" t="s">
        <v>157</v>
      </c>
      <c r="F6" s="29" t="s">
        <v>156</v>
      </c>
      <c r="G6" s="29" t="s">
        <v>155</v>
      </c>
      <c r="H6" s="29" t="s">
        <v>154</v>
      </c>
    </row>
    <row r="7" spans="1:8" x14ac:dyDescent="0.2">
      <c r="A7" s="1"/>
      <c r="B7" s="8">
        <v>45604</v>
      </c>
      <c r="C7" s="9" t="s">
        <v>32</v>
      </c>
      <c r="D7" s="9" t="s">
        <v>31</v>
      </c>
      <c r="E7" s="10" t="s">
        <v>30</v>
      </c>
      <c r="F7" s="11" t="s">
        <v>29</v>
      </c>
      <c r="G7" s="12" t="s">
        <v>28</v>
      </c>
      <c r="H7" s="13" t="s">
        <v>27</v>
      </c>
    </row>
    <row r="8" spans="1:8" x14ac:dyDescent="0.2">
      <c r="A8" s="1"/>
      <c r="B8" s="8">
        <v>45604</v>
      </c>
      <c r="C8" s="9" t="s">
        <v>32</v>
      </c>
      <c r="D8" s="9" t="s">
        <v>31</v>
      </c>
      <c r="E8" s="10" t="s">
        <v>163</v>
      </c>
      <c r="F8" s="11" t="s">
        <v>164</v>
      </c>
      <c r="G8" s="12" t="s">
        <v>28</v>
      </c>
      <c r="H8" s="13" t="s">
        <v>27</v>
      </c>
    </row>
    <row r="9" spans="1:8" ht="15.75" x14ac:dyDescent="0.25">
      <c r="A9" s="2"/>
      <c r="B9" s="8">
        <v>45574</v>
      </c>
      <c r="C9" s="9" t="s">
        <v>32</v>
      </c>
      <c r="D9" s="9" t="s">
        <v>31</v>
      </c>
      <c r="E9" s="10" t="s">
        <v>244</v>
      </c>
      <c r="F9" s="11" t="s">
        <v>245</v>
      </c>
      <c r="G9" s="12" t="s">
        <v>246</v>
      </c>
      <c r="H9" s="13" t="s">
        <v>247</v>
      </c>
    </row>
    <row r="10" spans="1:8" ht="15.75" x14ac:dyDescent="0.25">
      <c r="A10" s="2"/>
      <c r="B10" s="8">
        <v>45541</v>
      </c>
      <c r="C10" s="9" t="s">
        <v>37</v>
      </c>
      <c r="D10" s="9" t="s">
        <v>31</v>
      </c>
      <c r="E10" s="10" t="s">
        <v>311</v>
      </c>
      <c r="F10" s="11" t="s">
        <v>312</v>
      </c>
      <c r="G10" s="12" t="s">
        <v>84</v>
      </c>
      <c r="H10" s="13" t="s">
        <v>313</v>
      </c>
    </row>
    <row r="11" spans="1:8" ht="15.75" x14ac:dyDescent="0.25">
      <c r="A11" s="2"/>
      <c r="B11" s="8">
        <v>45757</v>
      </c>
      <c r="C11" s="9" t="s">
        <v>32</v>
      </c>
      <c r="D11" s="9" t="s">
        <v>31</v>
      </c>
      <c r="E11" s="10" t="s">
        <v>348</v>
      </c>
      <c r="F11" s="11" t="s">
        <v>349</v>
      </c>
      <c r="G11" s="12" t="s">
        <v>350</v>
      </c>
      <c r="H11" s="13" t="s">
        <v>351</v>
      </c>
    </row>
    <row r="12" spans="1:8" ht="15.75" x14ac:dyDescent="0.25">
      <c r="A12" s="2"/>
      <c r="B12" s="8">
        <v>45188</v>
      </c>
      <c r="C12" s="9" t="s">
        <v>32</v>
      </c>
      <c r="D12" s="9" t="s">
        <v>165</v>
      </c>
      <c r="E12" s="10" t="s">
        <v>166</v>
      </c>
      <c r="F12" s="11"/>
      <c r="G12" s="12"/>
      <c r="H12" s="13" t="s">
        <v>167</v>
      </c>
    </row>
    <row r="13" spans="1:8" ht="15.75" x14ac:dyDescent="0.25">
      <c r="A13" s="2"/>
      <c r="B13" s="8">
        <v>45757</v>
      </c>
      <c r="C13" s="9" t="s">
        <v>32</v>
      </c>
      <c r="D13" s="9" t="s">
        <v>168</v>
      </c>
      <c r="E13" s="30" t="s">
        <v>353</v>
      </c>
      <c r="F13" s="38" t="s">
        <v>169</v>
      </c>
      <c r="G13" s="39" t="s">
        <v>170</v>
      </c>
      <c r="H13" s="13" t="s">
        <v>352</v>
      </c>
    </row>
    <row r="14" spans="1:8" ht="15.75" x14ac:dyDescent="0.25">
      <c r="A14" s="2"/>
      <c r="B14" s="8">
        <v>45140</v>
      </c>
      <c r="C14" s="9" t="s">
        <v>32</v>
      </c>
      <c r="D14" s="9" t="s">
        <v>171</v>
      </c>
      <c r="E14" s="10" t="s">
        <v>172</v>
      </c>
      <c r="F14" s="11" t="s">
        <v>7</v>
      </c>
      <c r="G14" s="12" t="s">
        <v>173</v>
      </c>
      <c r="H14" s="13"/>
    </row>
    <row r="15" spans="1:8" ht="15.75" x14ac:dyDescent="0.25">
      <c r="A15" s="2"/>
      <c r="B15" s="8">
        <v>45609</v>
      </c>
      <c r="C15" s="9" t="s">
        <v>32</v>
      </c>
      <c r="D15" s="9" t="s">
        <v>174</v>
      </c>
      <c r="E15" s="10" t="s">
        <v>175</v>
      </c>
      <c r="F15" s="11" t="s">
        <v>7</v>
      </c>
      <c r="G15" s="12" t="s">
        <v>176</v>
      </c>
      <c r="H15" s="13" t="s">
        <v>177</v>
      </c>
    </row>
    <row r="16" spans="1:8" x14ac:dyDescent="0.2">
      <c r="A16" s="1"/>
      <c r="B16" s="8">
        <v>45609</v>
      </c>
      <c r="C16" s="9" t="s">
        <v>32</v>
      </c>
      <c r="D16" s="9" t="s">
        <v>178</v>
      </c>
      <c r="E16" s="10" t="s">
        <v>175</v>
      </c>
      <c r="F16" s="11" t="s">
        <v>7</v>
      </c>
      <c r="G16" s="12" t="s">
        <v>176</v>
      </c>
      <c r="H16" s="13" t="s">
        <v>179</v>
      </c>
    </row>
    <row r="17" spans="1:8" x14ac:dyDescent="0.2">
      <c r="A17" s="1"/>
      <c r="B17" s="8">
        <v>45567</v>
      </c>
      <c r="C17" s="9" t="s">
        <v>32</v>
      </c>
      <c r="D17" s="9" t="s">
        <v>248</v>
      </c>
      <c r="E17" s="10" t="s">
        <v>249</v>
      </c>
      <c r="F17" s="11" t="s">
        <v>250</v>
      </c>
      <c r="G17" s="12" t="s">
        <v>251</v>
      </c>
      <c r="H17" s="13" t="s">
        <v>252</v>
      </c>
    </row>
    <row r="18" spans="1:8" x14ac:dyDescent="0.2">
      <c r="A18" s="1"/>
      <c r="B18" s="8">
        <v>45450</v>
      </c>
      <c r="C18" s="9" t="s">
        <v>32</v>
      </c>
      <c r="D18" s="9" t="s">
        <v>180</v>
      </c>
      <c r="E18" s="10" t="s">
        <v>24</v>
      </c>
      <c r="F18" s="11" t="s">
        <v>162</v>
      </c>
      <c r="G18" s="12" t="s">
        <v>181</v>
      </c>
      <c r="H18" s="13" t="s">
        <v>182</v>
      </c>
    </row>
    <row r="19" spans="1:8" x14ac:dyDescent="0.2">
      <c r="A19" s="1"/>
      <c r="B19" s="8">
        <v>45450</v>
      </c>
      <c r="C19" s="9" t="s">
        <v>32</v>
      </c>
      <c r="D19" s="9" t="s">
        <v>180</v>
      </c>
      <c r="E19" s="10"/>
      <c r="F19" s="11" t="s">
        <v>183</v>
      </c>
      <c r="G19" s="12" t="s">
        <v>184</v>
      </c>
      <c r="H19" s="13" t="s">
        <v>185</v>
      </c>
    </row>
    <row r="20" spans="1:8" x14ac:dyDescent="0.2">
      <c r="A20" s="1"/>
      <c r="B20" s="8">
        <v>45196</v>
      </c>
      <c r="C20" s="9" t="s">
        <v>32</v>
      </c>
      <c r="D20" s="9" t="s">
        <v>186</v>
      </c>
      <c r="E20" s="10" t="s">
        <v>187</v>
      </c>
      <c r="F20" s="11" t="s">
        <v>188</v>
      </c>
      <c r="G20" s="12"/>
      <c r="H20" s="13" t="s">
        <v>189</v>
      </c>
    </row>
    <row r="21" spans="1:8" x14ac:dyDescent="0.2">
      <c r="A21" s="1"/>
      <c r="B21" s="8">
        <v>45721</v>
      </c>
      <c r="C21" s="9" t="s">
        <v>32</v>
      </c>
      <c r="D21" s="9" t="s">
        <v>294</v>
      </c>
      <c r="E21" s="30" t="s">
        <v>296</v>
      </c>
      <c r="F21" s="11"/>
      <c r="G21" s="12"/>
      <c r="H21" s="13" t="s">
        <v>295</v>
      </c>
    </row>
    <row r="22" spans="1:8" x14ac:dyDescent="0.2">
      <c r="A22" s="1"/>
      <c r="B22" s="8">
        <v>45753</v>
      </c>
      <c r="C22" s="9" t="s">
        <v>32</v>
      </c>
      <c r="D22" s="9" t="s">
        <v>294</v>
      </c>
      <c r="E22" s="10" t="s">
        <v>372</v>
      </c>
      <c r="F22" s="11" t="s">
        <v>375</v>
      </c>
      <c r="G22" s="12" t="s">
        <v>454</v>
      </c>
      <c r="H22" s="13" t="s">
        <v>453</v>
      </c>
    </row>
    <row r="23" spans="1:8" x14ac:dyDescent="0.2">
      <c r="A23" s="1"/>
      <c r="B23" s="8">
        <v>45753</v>
      </c>
      <c r="C23" s="9" t="s">
        <v>32</v>
      </c>
      <c r="D23" s="9" t="s">
        <v>294</v>
      </c>
      <c r="E23" s="10" t="s">
        <v>373</v>
      </c>
      <c r="F23" s="20" t="s">
        <v>375</v>
      </c>
      <c r="G23" s="12" t="s">
        <v>454</v>
      </c>
      <c r="H23" s="13" t="s">
        <v>374</v>
      </c>
    </row>
    <row r="24" spans="1:8" x14ac:dyDescent="0.2">
      <c r="A24" s="1"/>
      <c r="B24" s="8">
        <v>45753</v>
      </c>
      <c r="C24" s="9" t="s">
        <v>32</v>
      </c>
      <c r="D24" s="9" t="s">
        <v>294</v>
      </c>
      <c r="E24" s="10" t="s">
        <v>372</v>
      </c>
      <c r="F24" s="11" t="s">
        <v>200</v>
      </c>
      <c r="G24" s="12" t="s">
        <v>34</v>
      </c>
      <c r="H24" s="13" t="s">
        <v>376</v>
      </c>
    </row>
    <row r="25" spans="1:8" x14ac:dyDescent="0.2">
      <c r="A25" s="1"/>
      <c r="B25" s="8">
        <v>45357</v>
      </c>
      <c r="C25" s="9" t="s">
        <v>32</v>
      </c>
      <c r="D25" s="9" t="s">
        <v>243</v>
      </c>
      <c r="E25" s="10" t="s">
        <v>253</v>
      </c>
      <c r="F25" s="11" t="s">
        <v>169</v>
      </c>
      <c r="G25" s="12" t="s">
        <v>254</v>
      </c>
      <c r="H25" s="13"/>
    </row>
    <row r="26" spans="1:8" x14ac:dyDescent="0.2">
      <c r="A26" s="1"/>
      <c r="B26" s="8">
        <v>45715</v>
      </c>
      <c r="C26" s="9" t="s">
        <v>32</v>
      </c>
      <c r="D26" s="9" t="s">
        <v>243</v>
      </c>
      <c r="E26" s="10" t="s">
        <v>283</v>
      </c>
      <c r="F26" s="11" t="s">
        <v>284</v>
      </c>
      <c r="G26" s="12" t="s">
        <v>288</v>
      </c>
      <c r="H26" s="13" t="s">
        <v>285</v>
      </c>
    </row>
    <row r="27" spans="1:8" x14ac:dyDescent="0.2">
      <c r="A27" s="1"/>
      <c r="B27" s="8">
        <v>45715</v>
      </c>
      <c r="C27" s="9" t="s">
        <v>32</v>
      </c>
      <c r="D27" s="9" t="s">
        <v>243</v>
      </c>
      <c r="E27" s="10" t="s">
        <v>286</v>
      </c>
      <c r="F27" s="11" t="s">
        <v>287</v>
      </c>
      <c r="G27" s="12" t="s">
        <v>288</v>
      </c>
      <c r="H27" s="13" t="s">
        <v>285</v>
      </c>
    </row>
    <row r="28" spans="1:8" ht="15.75" x14ac:dyDescent="0.25">
      <c r="A28" s="2"/>
      <c r="B28" s="8">
        <v>45722</v>
      </c>
      <c r="C28" s="9" t="s">
        <v>32</v>
      </c>
      <c r="D28" s="9" t="s">
        <v>290</v>
      </c>
      <c r="E28" s="10" t="s">
        <v>289</v>
      </c>
      <c r="F28" s="11" t="s">
        <v>291</v>
      </c>
      <c r="G28" s="14" t="s">
        <v>292</v>
      </c>
      <c r="H28" s="13" t="s">
        <v>293</v>
      </c>
    </row>
    <row r="29" spans="1:8" x14ac:dyDescent="0.2">
      <c r="A29" s="1"/>
      <c r="B29" s="8">
        <v>44993</v>
      </c>
      <c r="C29" s="9" t="s">
        <v>32</v>
      </c>
      <c r="D29" s="9" t="s">
        <v>190</v>
      </c>
      <c r="E29" s="10" t="s">
        <v>191</v>
      </c>
      <c r="F29" s="11">
        <v>777</v>
      </c>
      <c r="G29" s="12" t="s">
        <v>192</v>
      </c>
      <c r="H29" s="13" t="s">
        <v>193</v>
      </c>
    </row>
    <row r="30" spans="1:8" x14ac:dyDescent="0.2">
      <c r="A30" s="1"/>
      <c r="B30" s="8">
        <v>45541</v>
      </c>
      <c r="C30" s="9" t="s">
        <v>32</v>
      </c>
      <c r="D30" s="9" t="s">
        <v>190</v>
      </c>
      <c r="E30" s="10" t="s">
        <v>255</v>
      </c>
      <c r="F30" s="11">
        <v>777</v>
      </c>
      <c r="G30" s="12" t="s">
        <v>192</v>
      </c>
      <c r="H30" s="13" t="s">
        <v>193</v>
      </c>
    </row>
    <row r="31" spans="1:8" x14ac:dyDescent="0.2">
      <c r="A31" s="1"/>
      <c r="B31" s="8">
        <v>44993</v>
      </c>
      <c r="C31" s="9" t="s">
        <v>32</v>
      </c>
      <c r="D31" s="9" t="s">
        <v>256</v>
      </c>
      <c r="E31" s="10" t="s">
        <v>257</v>
      </c>
      <c r="F31" s="11">
        <v>777</v>
      </c>
      <c r="G31" s="12" t="s">
        <v>192</v>
      </c>
      <c r="H31" s="13" t="s">
        <v>258</v>
      </c>
    </row>
    <row r="32" spans="1:8" x14ac:dyDescent="0.2">
      <c r="A32" s="1"/>
      <c r="B32" s="8">
        <v>45532</v>
      </c>
      <c r="C32" s="9" t="s">
        <v>32</v>
      </c>
      <c r="D32" s="9" t="s">
        <v>256</v>
      </c>
      <c r="E32" s="10" t="s">
        <v>259</v>
      </c>
      <c r="F32" s="11">
        <v>777</v>
      </c>
      <c r="G32" s="12" t="s">
        <v>192</v>
      </c>
      <c r="H32" s="13" t="s">
        <v>260</v>
      </c>
    </row>
    <row r="33" spans="1:8" x14ac:dyDescent="0.2">
      <c r="A33" s="1"/>
      <c r="B33" s="8">
        <v>44927</v>
      </c>
      <c r="C33" s="9" t="s">
        <v>32</v>
      </c>
      <c r="D33" s="9" t="s">
        <v>256</v>
      </c>
      <c r="E33" s="10" t="s">
        <v>261</v>
      </c>
      <c r="F33" s="11"/>
      <c r="G33" s="12" t="s">
        <v>262</v>
      </c>
      <c r="H33" s="13"/>
    </row>
    <row r="34" spans="1:8" ht="15.75" x14ac:dyDescent="0.25">
      <c r="A34" s="2"/>
      <c r="B34" s="8">
        <v>44993</v>
      </c>
      <c r="C34" s="9" t="s">
        <v>32</v>
      </c>
      <c r="D34" s="9" t="s">
        <v>263</v>
      </c>
      <c r="E34" s="10" t="s">
        <v>264</v>
      </c>
      <c r="F34" s="11">
        <v>777</v>
      </c>
      <c r="G34" s="12" t="s">
        <v>192</v>
      </c>
      <c r="H34" s="13" t="s">
        <v>265</v>
      </c>
    </row>
    <row r="35" spans="1:8" ht="15.75" x14ac:dyDescent="0.25">
      <c r="A35" s="2"/>
      <c r="B35" s="8">
        <v>45532</v>
      </c>
      <c r="C35" s="9" t="s">
        <v>32</v>
      </c>
      <c r="D35" s="9" t="s">
        <v>263</v>
      </c>
      <c r="E35" s="10" t="s">
        <v>266</v>
      </c>
      <c r="F35" s="11">
        <v>777</v>
      </c>
      <c r="G35" s="12" t="s">
        <v>192</v>
      </c>
      <c r="H35" s="13" t="s">
        <v>267</v>
      </c>
    </row>
    <row r="36" spans="1:8" ht="15.75" x14ac:dyDescent="0.25">
      <c r="A36" s="2"/>
      <c r="B36" s="8">
        <v>44965</v>
      </c>
      <c r="C36" s="9" t="s">
        <v>32</v>
      </c>
      <c r="D36" s="9" t="s">
        <v>272</v>
      </c>
      <c r="E36" s="10" t="s">
        <v>273</v>
      </c>
      <c r="F36" s="11" t="s">
        <v>274</v>
      </c>
      <c r="G36" s="12" t="s">
        <v>275</v>
      </c>
      <c r="H36" s="13" t="s">
        <v>276</v>
      </c>
    </row>
    <row r="37" spans="1:8" ht="15.75" x14ac:dyDescent="0.25">
      <c r="A37" s="2"/>
      <c r="B37" s="8">
        <v>44927</v>
      </c>
      <c r="C37" s="9" t="s">
        <v>32</v>
      </c>
      <c r="D37" s="9" t="s">
        <v>194</v>
      </c>
      <c r="E37" s="10" t="s">
        <v>195</v>
      </c>
      <c r="F37" s="11" t="s">
        <v>196</v>
      </c>
      <c r="G37" s="12" t="s">
        <v>197</v>
      </c>
      <c r="H37" s="13" t="s">
        <v>198</v>
      </c>
    </row>
    <row r="38" spans="1:8" ht="15.75" x14ac:dyDescent="0.25">
      <c r="A38" s="2"/>
      <c r="B38" s="8">
        <v>45400</v>
      </c>
      <c r="C38" s="9" t="s">
        <v>32</v>
      </c>
      <c r="D38" s="9" t="s">
        <v>194</v>
      </c>
      <c r="E38" s="10" t="s">
        <v>199</v>
      </c>
      <c r="F38" s="11" t="s">
        <v>200</v>
      </c>
      <c r="G38" s="12" t="s">
        <v>34</v>
      </c>
      <c r="H38" s="13" t="s">
        <v>201</v>
      </c>
    </row>
    <row r="39" spans="1:8" ht="15.75" x14ac:dyDescent="0.25">
      <c r="A39" s="2"/>
      <c r="B39" s="8">
        <v>45770</v>
      </c>
      <c r="C39" s="9" t="s">
        <v>32</v>
      </c>
      <c r="D39" s="9" t="s">
        <v>194</v>
      </c>
      <c r="E39" s="10" t="s">
        <v>206</v>
      </c>
      <c r="F39" s="11" t="s">
        <v>113</v>
      </c>
      <c r="G39" s="12" t="s">
        <v>34</v>
      </c>
      <c r="H39" s="13" t="s">
        <v>361</v>
      </c>
    </row>
    <row r="40" spans="1:8" x14ac:dyDescent="0.2">
      <c r="A40" s="1"/>
      <c r="B40" s="8">
        <v>45342</v>
      </c>
      <c r="C40" s="9" t="s">
        <v>32</v>
      </c>
      <c r="D40" s="9" t="s">
        <v>194</v>
      </c>
      <c r="E40" s="10" t="s">
        <v>202</v>
      </c>
      <c r="F40" s="11" t="s">
        <v>169</v>
      </c>
      <c r="G40" s="12" t="s">
        <v>169</v>
      </c>
      <c r="H40" s="13" t="s">
        <v>203</v>
      </c>
    </row>
    <row r="41" spans="1:8" x14ac:dyDescent="0.2">
      <c r="A41" s="1"/>
      <c r="B41" s="8">
        <v>45342</v>
      </c>
      <c r="C41" s="9" t="s">
        <v>32</v>
      </c>
      <c r="D41" s="9" t="s">
        <v>194</v>
      </c>
      <c r="E41" s="10" t="s">
        <v>204</v>
      </c>
      <c r="F41" s="11"/>
      <c r="G41" s="12"/>
      <c r="H41" s="13" t="s">
        <v>205</v>
      </c>
    </row>
    <row r="42" spans="1:8" x14ac:dyDescent="0.2">
      <c r="A42" s="1"/>
      <c r="B42" s="8">
        <v>44927</v>
      </c>
      <c r="C42" s="9" t="s">
        <v>32</v>
      </c>
      <c r="D42" s="9" t="s">
        <v>194</v>
      </c>
      <c r="E42" s="10" t="s">
        <v>206</v>
      </c>
      <c r="F42" s="11" t="s">
        <v>196</v>
      </c>
      <c r="G42" s="12" t="s">
        <v>197</v>
      </c>
      <c r="H42" s="13" t="s">
        <v>207</v>
      </c>
    </row>
    <row r="43" spans="1:8" x14ac:dyDescent="0.2">
      <c r="A43" s="1"/>
      <c r="B43" s="8">
        <v>44993</v>
      </c>
      <c r="C43" s="9" t="s">
        <v>32</v>
      </c>
      <c r="D43" s="9" t="s">
        <v>208</v>
      </c>
      <c r="E43" s="10" t="s">
        <v>209</v>
      </c>
      <c r="F43" s="11"/>
      <c r="G43" s="12"/>
      <c r="H43" s="13" t="s">
        <v>210</v>
      </c>
    </row>
    <row r="44" spans="1:8" x14ac:dyDescent="0.2">
      <c r="A44" s="1"/>
      <c r="B44" s="8">
        <v>44993</v>
      </c>
      <c r="C44" s="9" t="s">
        <v>32</v>
      </c>
      <c r="D44" s="9" t="s">
        <v>211</v>
      </c>
      <c r="E44" s="10" t="s">
        <v>212</v>
      </c>
      <c r="F44" s="11"/>
      <c r="G44" s="12"/>
      <c r="H44" s="13" t="s">
        <v>213</v>
      </c>
    </row>
    <row r="45" spans="1:8" x14ac:dyDescent="0.2">
      <c r="A45" s="1"/>
      <c r="B45" s="8">
        <v>44993</v>
      </c>
      <c r="C45" s="9" t="s">
        <v>32</v>
      </c>
      <c r="D45" s="9" t="s">
        <v>214</v>
      </c>
      <c r="E45" s="10" t="s">
        <v>215</v>
      </c>
      <c r="F45" s="11"/>
      <c r="G45" s="12"/>
      <c r="H45" s="13" t="s">
        <v>216</v>
      </c>
    </row>
    <row r="46" spans="1:8" x14ac:dyDescent="0.2">
      <c r="A46" s="1"/>
      <c r="B46" s="8">
        <v>44927</v>
      </c>
      <c r="C46" s="9" t="s">
        <v>32</v>
      </c>
      <c r="D46" s="9" t="s">
        <v>268</v>
      </c>
      <c r="E46" s="10" t="s">
        <v>269</v>
      </c>
      <c r="F46" s="11" t="s">
        <v>270</v>
      </c>
      <c r="G46" s="12" t="s">
        <v>271</v>
      </c>
      <c r="H46" s="13" t="s">
        <v>193</v>
      </c>
    </row>
    <row r="47" spans="1:8" x14ac:dyDescent="0.2">
      <c r="A47" s="1"/>
      <c r="B47" s="8">
        <v>44927</v>
      </c>
      <c r="C47" s="9" t="s">
        <v>32</v>
      </c>
      <c r="D47" s="9" t="s">
        <v>217</v>
      </c>
      <c r="E47" s="10" t="s">
        <v>218</v>
      </c>
      <c r="F47" s="11" t="s">
        <v>162</v>
      </c>
      <c r="G47" s="12" t="s">
        <v>219</v>
      </c>
      <c r="H47" s="13" t="s">
        <v>220</v>
      </c>
    </row>
    <row r="48" spans="1:8" x14ac:dyDescent="0.2">
      <c r="A48" s="1"/>
      <c r="B48" s="8">
        <v>44993</v>
      </c>
      <c r="C48" s="9" t="s">
        <v>32</v>
      </c>
      <c r="D48" s="9" t="s">
        <v>221</v>
      </c>
      <c r="E48" s="10" t="s">
        <v>222</v>
      </c>
      <c r="F48" s="11" t="s">
        <v>7</v>
      </c>
      <c r="G48" s="12" t="s">
        <v>223</v>
      </c>
      <c r="H48" s="13"/>
    </row>
    <row r="49" spans="2:8" x14ac:dyDescent="0.2">
      <c r="B49" s="8">
        <v>45000</v>
      </c>
      <c r="C49" s="9" t="s">
        <v>32</v>
      </c>
      <c r="D49" s="9" t="s">
        <v>224</v>
      </c>
      <c r="E49" s="10" t="s">
        <v>225</v>
      </c>
      <c r="F49" s="11" t="s">
        <v>7</v>
      </c>
      <c r="G49" s="12" t="s">
        <v>223</v>
      </c>
      <c r="H49" s="13" t="s">
        <v>226</v>
      </c>
    </row>
    <row r="50" spans="2:8" x14ac:dyDescent="0.2">
      <c r="B50" s="8">
        <v>44993</v>
      </c>
      <c r="C50" s="9" t="s">
        <v>32</v>
      </c>
      <c r="D50" s="9" t="s">
        <v>224</v>
      </c>
      <c r="E50" s="10" t="s">
        <v>227</v>
      </c>
      <c r="F50" s="11" t="s">
        <v>7</v>
      </c>
      <c r="G50" s="12" t="s">
        <v>223</v>
      </c>
      <c r="H50" s="13"/>
    </row>
    <row r="51" spans="2:8" x14ac:dyDescent="0.2">
      <c r="B51" s="8">
        <v>44993</v>
      </c>
      <c r="C51" s="9" t="s">
        <v>32</v>
      </c>
      <c r="D51" s="9" t="s">
        <v>228</v>
      </c>
      <c r="E51" s="10" t="s">
        <v>229</v>
      </c>
      <c r="F51" s="11" t="s">
        <v>7</v>
      </c>
      <c r="G51" s="12" t="s">
        <v>230</v>
      </c>
      <c r="H51" s="13"/>
    </row>
    <row r="52" spans="2:8" x14ac:dyDescent="0.2">
      <c r="B52" s="8">
        <v>45604</v>
      </c>
      <c r="C52" s="9" t="s">
        <v>32</v>
      </c>
      <c r="D52" s="9" t="s">
        <v>231</v>
      </c>
      <c r="E52" s="10" t="s">
        <v>30</v>
      </c>
      <c r="F52" s="11" t="s">
        <v>232</v>
      </c>
      <c r="G52" s="12" t="s">
        <v>28</v>
      </c>
      <c r="H52" s="13"/>
    </row>
    <row r="53" spans="2:8" x14ac:dyDescent="0.2">
      <c r="B53" s="8">
        <v>45604</v>
      </c>
      <c r="C53" s="9" t="s">
        <v>32</v>
      </c>
      <c r="D53" s="9" t="s">
        <v>231</v>
      </c>
      <c r="E53" s="10" t="s">
        <v>163</v>
      </c>
      <c r="F53" s="11" t="s">
        <v>233</v>
      </c>
      <c r="G53" s="12" t="s">
        <v>28</v>
      </c>
      <c r="H53" s="13"/>
    </row>
    <row r="54" spans="2:8" x14ac:dyDescent="0.2">
      <c r="B54" s="8">
        <v>44565</v>
      </c>
      <c r="C54" s="9" t="s">
        <v>32</v>
      </c>
      <c r="D54" s="9" t="s">
        <v>234</v>
      </c>
      <c r="E54" s="10" t="s">
        <v>235</v>
      </c>
      <c r="F54" s="11" t="s">
        <v>236</v>
      </c>
      <c r="G54" s="12" t="s">
        <v>237</v>
      </c>
      <c r="H54" s="13" t="s">
        <v>238</v>
      </c>
    </row>
    <row r="55" spans="2:8" x14ac:dyDescent="0.2">
      <c r="B55" s="8">
        <v>45609</v>
      </c>
      <c r="C55" s="9" t="s">
        <v>32</v>
      </c>
      <c r="D55" s="9" t="s">
        <v>239</v>
      </c>
      <c r="E55" s="10" t="s">
        <v>240</v>
      </c>
      <c r="F55" s="11" t="s">
        <v>241</v>
      </c>
      <c r="G55" s="12" t="s">
        <v>242</v>
      </c>
      <c r="H55" s="13"/>
    </row>
    <row r="56" spans="2:8" x14ac:dyDescent="0.2">
      <c r="B56" s="8"/>
      <c r="C56" s="9"/>
      <c r="D56" s="9"/>
      <c r="E56" s="10"/>
      <c r="F56" s="11"/>
      <c r="G56" s="12"/>
      <c r="H56" s="13"/>
    </row>
    <row r="57" spans="2:8" x14ac:dyDescent="0.2">
      <c r="B57" s="8"/>
      <c r="C57" s="9"/>
      <c r="D57" s="9"/>
      <c r="E57" s="10"/>
      <c r="F57" s="11"/>
      <c r="G57" s="12"/>
      <c r="H57" s="13"/>
    </row>
    <row r="58" spans="2:8" x14ac:dyDescent="0.2">
      <c r="B58" s="8"/>
      <c r="C58" s="9"/>
      <c r="D58" s="9"/>
      <c r="E58" s="10"/>
      <c r="F58" s="11"/>
      <c r="G58" s="12"/>
      <c r="H58" s="13"/>
    </row>
    <row r="59" spans="2:8" x14ac:dyDescent="0.2">
      <c r="B59" s="8"/>
      <c r="C59" s="9"/>
      <c r="D59" s="9"/>
      <c r="E59" s="10"/>
      <c r="F59" s="11"/>
      <c r="G59" s="12"/>
      <c r="H59" s="13"/>
    </row>
    <row r="60" spans="2:8" x14ac:dyDescent="0.2">
      <c r="B60" s="8"/>
      <c r="C60" s="9"/>
      <c r="D60" s="9"/>
      <c r="E60" s="10"/>
      <c r="F60" s="11"/>
      <c r="G60" s="12"/>
      <c r="H60" s="13"/>
    </row>
  </sheetData>
  <autoFilter ref="B6:H60" xr:uid="{C59BC6B0-8656-4FE4-8198-8FB66AA2275D}"/>
  <sortState xmlns:xlrd2="http://schemas.microsoft.com/office/spreadsheetml/2017/richdata2" ref="B7:H55">
    <sortCondition ref="D7:D55"/>
  </sortState>
  <mergeCells count="3">
    <mergeCell ref="B2:H2"/>
    <mergeCell ref="B3:H3"/>
    <mergeCell ref="B4:H4"/>
  </mergeCells>
  <hyperlinks>
    <hyperlink ref="E21" r:id="rId1" xr:uid="{6DAF68C4-ECAD-4CC2-8448-7D43F7496622}"/>
    <hyperlink ref="E13" r:id="rId2" xr:uid="{861633A6-0E3C-4369-809B-94928B267597}"/>
    <hyperlink ref="F39" r:id="rId3" xr:uid="{4DE531C6-99A6-4C9C-8B19-4C88B5185EC6}"/>
    <hyperlink ref="E22" r:id="rId4" xr:uid="{2471DC2A-56AC-4F1A-A757-5E6A56562DA8}"/>
    <hyperlink ref="E23" r:id="rId5" xr:uid="{8ECCA7BD-F22F-48FD-B64C-A98463D42905}"/>
    <hyperlink ref="F22" r:id="rId6" xr:uid="{C0FE7082-D516-494B-BA95-4A8387AFF75D}"/>
    <hyperlink ref="F23" r:id="rId7" xr:uid="{5917506B-1068-4DA5-89AA-F27F037AE325}"/>
    <hyperlink ref="E24" r:id="rId8" xr:uid="{24389F56-00DD-47EA-A8DC-02A43544EB26}"/>
  </hyperlinks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C148-2D3A-4362-B437-B3A8633C96F1}">
  <sheetPr>
    <tabColor rgb="FFFF0066"/>
  </sheetPr>
  <dimension ref="B1:H14"/>
  <sheetViews>
    <sheetView workbookViewId="0">
      <selection activeCell="B8" sqref="B8"/>
    </sheetView>
  </sheetViews>
  <sheetFormatPr baseColWidth="10" defaultRowHeight="15" x14ac:dyDescent="0.2"/>
  <cols>
    <col min="2" max="2" width="11.5546875" style="51"/>
    <col min="3" max="3" width="7.109375" style="53" customWidth="1"/>
    <col min="4" max="4" width="5.88671875" style="53" customWidth="1"/>
    <col min="5" max="5" width="28.33203125" customWidth="1"/>
    <col min="6" max="6" width="7" style="56" bestFit="1" customWidth="1"/>
    <col min="7" max="7" width="5.6640625" style="53" customWidth="1"/>
  </cols>
  <sheetData>
    <row r="1" spans="2:8" ht="15.75" x14ac:dyDescent="0.25">
      <c r="B1" s="50"/>
      <c r="C1" s="1"/>
      <c r="D1" s="1"/>
      <c r="E1" s="2"/>
      <c r="F1" s="54"/>
      <c r="G1" s="1"/>
      <c r="H1" s="2"/>
    </row>
    <row r="2" spans="2:8" ht="23.25" x14ac:dyDescent="0.35">
      <c r="B2" s="71" t="s">
        <v>162</v>
      </c>
      <c r="C2" s="74"/>
      <c r="D2" s="74"/>
      <c r="E2" s="74"/>
      <c r="F2" s="74"/>
      <c r="G2" s="74"/>
      <c r="H2" s="74"/>
    </row>
    <row r="3" spans="2:8" ht="20.25" x14ac:dyDescent="0.3">
      <c r="B3" s="72" t="s">
        <v>161</v>
      </c>
      <c r="C3" s="74"/>
      <c r="D3" s="74"/>
      <c r="E3" s="74"/>
      <c r="F3" s="74"/>
      <c r="G3" s="74"/>
      <c r="H3" s="74"/>
    </row>
    <row r="4" spans="2:8" ht="18.75" x14ac:dyDescent="0.3">
      <c r="B4" s="73">
        <f>MAX(B6:B389)</f>
        <v>45965</v>
      </c>
      <c r="C4" s="74"/>
      <c r="D4" s="74"/>
      <c r="E4" s="74"/>
      <c r="F4" s="74"/>
      <c r="G4" s="74"/>
      <c r="H4" s="74"/>
    </row>
    <row r="5" spans="2:8" ht="18" x14ac:dyDescent="0.25">
      <c r="B5" s="50"/>
      <c r="C5" s="52"/>
      <c r="D5" s="52"/>
      <c r="E5" s="5"/>
      <c r="F5" s="55"/>
      <c r="G5" s="52"/>
      <c r="H5" s="3"/>
    </row>
    <row r="7" spans="2:8" ht="15.75" x14ac:dyDescent="0.25">
      <c r="B7" s="59">
        <v>45965</v>
      </c>
      <c r="C7" s="60" t="s">
        <v>455</v>
      </c>
      <c r="D7" s="61"/>
      <c r="E7" s="62"/>
      <c r="F7" s="56" t="s">
        <v>466</v>
      </c>
      <c r="G7" s="53">
        <v>7.5</v>
      </c>
      <c r="H7" t="s">
        <v>467</v>
      </c>
    </row>
    <row r="8" spans="2:8" ht="15.75" x14ac:dyDescent="0.25">
      <c r="C8" s="63" t="s">
        <v>463</v>
      </c>
      <c r="D8" s="63" t="s">
        <v>462</v>
      </c>
      <c r="E8" s="64" t="s">
        <v>464</v>
      </c>
      <c r="F8" s="65" t="s">
        <v>465</v>
      </c>
      <c r="G8" s="63"/>
    </row>
    <row r="9" spans="2:8" x14ac:dyDescent="0.2">
      <c r="C9" s="53">
        <v>9</v>
      </c>
      <c r="D9" s="53" t="s">
        <v>456</v>
      </c>
      <c r="E9" t="s">
        <v>457</v>
      </c>
      <c r="F9" s="56">
        <f>C9/$C$13</f>
        <v>0.40909090909090912</v>
      </c>
      <c r="G9" s="53">
        <f>$G$7*F9</f>
        <v>3.0681818181818183</v>
      </c>
    </row>
    <row r="10" spans="2:8" x14ac:dyDescent="0.2">
      <c r="C10" s="53">
        <v>7</v>
      </c>
      <c r="D10" s="53" t="s">
        <v>458</v>
      </c>
      <c r="E10" t="s">
        <v>459</v>
      </c>
      <c r="F10" s="56">
        <f t="shared" ref="F10:F12" si="0">C10/$C$13</f>
        <v>0.31818181818181818</v>
      </c>
      <c r="G10" s="53">
        <f t="shared" ref="G10:G12" si="1">$G$7*F10</f>
        <v>2.3863636363636362</v>
      </c>
    </row>
    <row r="11" spans="2:8" x14ac:dyDescent="0.2">
      <c r="C11" s="53">
        <v>3</v>
      </c>
      <c r="D11" s="53" t="s">
        <v>456</v>
      </c>
      <c r="E11" t="s">
        <v>460</v>
      </c>
      <c r="F11" s="56">
        <f t="shared" si="0"/>
        <v>0.13636363636363635</v>
      </c>
      <c r="G11" s="53">
        <f t="shared" si="1"/>
        <v>1.0227272727272727</v>
      </c>
    </row>
    <row r="12" spans="2:8" x14ac:dyDescent="0.2">
      <c r="C12" s="53">
        <v>3</v>
      </c>
      <c r="D12" s="53" t="s">
        <v>456</v>
      </c>
      <c r="E12" t="s">
        <v>461</v>
      </c>
      <c r="F12" s="56">
        <f t="shared" si="0"/>
        <v>0.13636363636363635</v>
      </c>
      <c r="G12" s="53">
        <f t="shared" si="1"/>
        <v>1.0227272727272727</v>
      </c>
    </row>
    <row r="13" spans="2:8" ht="15.75" thickBot="1" x14ac:dyDescent="0.25">
      <c r="C13" s="57">
        <f>SUM(C9:C12)</f>
        <v>22</v>
      </c>
      <c r="F13" s="58">
        <f>SUM(F9:F12)</f>
        <v>1</v>
      </c>
      <c r="G13" s="57">
        <f>SUM(G9:G12)</f>
        <v>7.5</v>
      </c>
    </row>
    <row r="14" spans="2:8" ht="15.75" thickTop="1" x14ac:dyDescent="0.2"/>
  </sheetData>
  <mergeCells count="3">
    <mergeCell ref="B2:H2"/>
    <mergeCell ref="B3:H3"/>
    <mergeCell ref="B4:H4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0AF4-BE12-4B75-97BB-3A797C14A524}">
  <sheetPr>
    <tabColor rgb="FFFF0066"/>
    <pageSetUpPr fitToPage="1"/>
  </sheetPr>
  <dimension ref="A1:H24"/>
  <sheetViews>
    <sheetView showGridLines="0" zoomScale="110" zoomScaleNormal="110" workbookViewId="0">
      <pane ySplit="6" topLeftCell="A7" activePane="bottomLeft" state="frozen"/>
      <selection pane="bottomLeft" activeCell="B6" sqref="B6"/>
    </sheetView>
  </sheetViews>
  <sheetFormatPr baseColWidth="10" defaultRowHeight="15" x14ac:dyDescent="0.2"/>
  <cols>
    <col min="1" max="1" width="3.33203125" customWidth="1"/>
    <col min="2" max="2" width="9.88671875" bestFit="1" customWidth="1"/>
    <col min="3" max="3" width="7.6640625" bestFit="1" customWidth="1"/>
    <col min="4" max="4" width="12.6640625" bestFit="1" customWidth="1"/>
    <col min="5" max="5" width="31.21875" customWidth="1"/>
    <col min="6" max="6" width="24.88671875" bestFit="1" customWidth="1"/>
    <col min="7" max="7" width="13.21875" bestFit="1" customWidth="1"/>
    <col min="8" max="8" width="24" customWidth="1"/>
  </cols>
  <sheetData>
    <row r="1" spans="1:8" ht="15.75" x14ac:dyDescent="0.25">
      <c r="A1" s="2"/>
      <c r="B1" s="2"/>
      <c r="C1" s="2"/>
      <c r="D1" s="2"/>
      <c r="E1" s="2"/>
      <c r="F1" s="7"/>
      <c r="G1" s="6"/>
      <c r="H1" s="2"/>
    </row>
    <row r="2" spans="1:8" ht="23.25" x14ac:dyDescent="0.35">
      <c r="A2" s="2"/>
      <c r="B2" s="71" t="s">
        <v>162</v>
      </c>
      <c r="C2" s="74"/>
      <c r="D2" s="74"/>
      <c r="E2" s="74"/>
      <c r="F2" s="74"/>
      <c r="G2" s="74"/>
      <c r="H2" s="74"/>
    </row>
    <row r="3" spans="1:8" ht="20.25" x14ac:dyDescent="0.3">
      <c r="A3" s="2"/>
      <c r="B3" s="72" t="s">
        <v>161</v>
      </c>
      <c r="C3" s="74"/>
      <c r="D3" s="74"/>
      <c r="E3" s="74"/>
      <c r="F3" s="74"/>
      <c r="G3" s="74"/>
      <c r="H3" s="74"/>
    </row>
    <row r="4" spans="1:8" ht="18.75" x14ac:dyDescent="0.3">
      <c r="A4" s="2"/>
      <c r="B4" s="73">
        <f>MAX(B6:B340)</f>
        <v>46035</v>
      </c>
      <c r="C4" s="74"/>
      <c r="D4" s="74"/>
      <c r="E4" s="74"/>
      <c r="F4" s="74"/>
      <c r="G4" s="74"/>
      <c r="H4" s="74"/>
    </row>
    <row r="5" spans="1:8" ht="18" x14ac:dyDescent="0.25">
      <c r="A5" s="2"/>
      <c r="B5" s="2"/>
      <c r="C5" s="3"/>
      <c r="D5" s="3"/>
      <c r="E5" s="5"/>
      <c r="F5" s="3"/>
      <c r="G5" s="4"/>
      <c r="H5" s="3"/>
    </row>
    <row r="6" spans="1:8" ht="30" x14ac:dyDescent="0.2">
      <c r="A6" s="1"/>
      <c r="B6" s="29" t="s">
        <v>160</v>
      </c>
      <c r="C6" s="29" t="s">
        <v>159</v>
      </c>
      <c r="D6" s="29" t="s">
        <v>158</v>
      </c>
      <c r="E6" s="29" t="s">
        <v>157</v>
      </c>
      <c r="F6" s="29" t="s">
        <v>156</v>
      </c>
      <c r="G6" s="29" t="s">
        <v>155</v>
      </c>
      <c r="H6" s="29" t="s">
        <v>154</v>
      </c>
    </row>
    <row r="7" spans="1:8" x14ac:dyDescent="0.2">
      <c r="B7" s="8">
        <v>46035</v>
      </c>
      <c r="C7" s="9" t="s">
        <v>43</v>
      </c>
      <c r="D7" s="9" t="s">
        <v>521</v>
      </c>
      <c r="E7" s="10" t="s">
        <v>522</v>
      </c>
      <c r="F7" s="11" t="s">
        <v>40</v>
      </c>
      <c r="G7" s="12" t="s">
        <v>49</v>
      </c>
      <c r="H7" s="13"/>
    </row>
    <row r="8" spans="1:8" x14ac:dyDescent="0.2">
      <c r="B8" s="8">
        <v>45934</v>
      </c>
      <c r="C8" s="9" t="s">
        <v>43</v>
      </c>
      <c r="D8" s="9" t="s">
        <v>55</v>
      </c>
      <c r="E8" s="9" t="s">
        <v>445</v>
      </c>
      <c r="F8" s="11" t="s">
        <v>54</v>
      </c>
      <c r="G8" s="14" t="s">
        <v>53</v>
      </c>
      <c r="H8" s="13" t="s">
        <v>52</v>
      </c>
    </row>
    <row r="9" spans="1:8" x14ac:dyDescent="0.2">
      <c r="B9" s="8">
        <v>45934</v>
      </c>
      <c r="C9" s="9" t="s">
        <v>43</v>
      </c>
      <c r="D9" s="9" t="s">
        <v>55</v>
      </c>
      <c r="E9" s="9" t="s">
        <v>394</v>
      </c>
      <c r="F9" s="11" t="s">
        <v>446</v>
      </c>
      <c r="G9" s="14" t="s">
        <v>395</v>
      </c>
      <c r="H9" s="13" t="s">
        <v>444</v>
      </c>
    </row>
    <row r="10" spans="1:8" x14ac:dyDescent="0.2">
      <c r="B10" s="8">
        <v>46011</v>
      </c>
      <c r="C10" s="9" t="s">
        <v>43</v>
      </c>
      <c r="D10" s="9" t="s">
        <v>490</v>
      </c>
      <c r="E10" s="10" t="s">
        <v>491</v>
      </c>
      <c r="F10" s="11" t="s">
        <v>492</v>
      </c>
      <c r="G10" s="12" t="s">
        <v>493</v>
      </c>
      <c r="H10" s="13" t="s">
        <v>523</v>
      </c>
    </row>
    <row r="11" spans="1:8" x14ac:dyDescent="0.2">
      <c r="B11" s="8">
        <v>45934</v>
      </c>
      <c r="C11" s="9" t="s">
        <v>43</v>
      </c>
      <c r="D11" s="9" t="s">
        <v>51</v>
      </c>
      <c r="E11" s="13" t="s">
        <v>141</v>
      </c>
      <c r="F11" s="11" t="s">
        <v>50</v>
      </c>
      <c r="G11" s="14" t="s">
        <v>443</v>
      </c>
      <c r="H11" s="13" t="s">
        <v>48</v>
      </c>
    </row>
    <row r="12" spans="1:8" x14ac:dyDescent="0.2">
      <c r="B12" s="8">
        <v>45934</v>
      </c>
      <c r="C12" s="9" t="s">
        <v>43</v>
      </c>
      <c r="D12" s="9" t="s">
        <v>449</v>
      </c>
      <c r="E12" s="10" t="s">
        <v>450</v>
      </c>
      <c r="F12" s="11"/>
      <c r="G12" s="12"/>
      <c r="H12" s="13"/>
    </row>
    <row r="13" spans="1:8" x14ac:dyDescent="0.2">
      <c r="B13" s="8">
        <v>44927</v>
      </c>
      <c r="C13" s="9" t="s">
        <v>43</v>
      </c>
      <c r="D13" s="9" t="s">
        <v>47</v>
      </c>
      <c r="E13" s="9" t="s">
        <v>46</v>
      </c>
      <c r="F13" s="11" t="s">
        <v>45</v>
      </c>
      <c r="G13" s="14" t="s">
        <v>44</v>
      </c>
      <c r="H13" s="13"/>
    </row>
    <row r="14" spans="1:8" x14ac:dyDescent="0.2">
      <c r="B14" s="8">
        <v>46035</v>
      </c>
      <c r="C14" s="9" t="s">
        <v>43</v>
      </c>
      <c r="D14" s="9" t="s">
        <v>520</v>
      </c>
      <c r="E14" s="10"/>
      <c r="F14" s="11" t="s">
        <v>40</v>
      </c>
      <c r="G14" s="12" t="s">
        <v>493</v>
      </c>
      <c r="H14" s="13"/>
    </row>
    <row r="15" spans="1:8" x14ac:dyDescent="0.2">
      <c r="B15" s="8">
        <v>45934</v>
      </c>
      <c r="C15" s="9" t="s">
        <v>43</v>
      </c>
      <c r="D15" s="9" t="s">
        <v>451</v>
      </c>
      <c r="E15" s="10" t="s">
        <v>452</v>
      </c>
      <c r="F15" s="11"/>
      <c r="G15" s="12"/>
      <c r="H15" s="13"/>
    </row>
    <row r="16" spans="1:8" x14ac:dyDescent="0.2">
      <c r="B16" s="8">
        <v>46035</v>
      </c>
      <c r="C16" s="9" t="s">
        <v>43</v>
      </c>
      <c r="D16" s="9" t="s">
        <v>105</v>
      </c>
      <c r="E16" s="10"/>
      <c r="F16" s="11" t="s">
        <v>40</v>
      </c>
      <c r="G16" s="12" t="s">
        <v>493</v>
      </c>
      <c r="H16" s="13"/>
    </row>
    <row r="17" spans="2:8" x14ac:dyDescent="0.2">
      <c r="B17" s="8">
        <v>45307</v>
      </c>
      <c r="C17" s="9" t="s">
        <v>43</v>
      </c>
      <c r="D17" s="9" t="s">
        <v>42</v>
      </c>
      <c r="E17" s="9" t="s">
        <v>41</v>
      </c>
      <c r="F17" s="11" t="s">
        <v>40</v>
      </c>
      <c r="G17" s="14" t="s">
        <v>39</v>
      </c>
      <c r="H17" s="13" t="s">
        <v>38</v>
      </c>
    </row>
    <row r="18" spans="2:8" x14ac:dyDescent="0.2">
      <c r="B18" s="8">
        <v>45934</v>
      </c>
      <c r="C18" s="9" t="s">
        <v>43</v>
      </c>
      <c r="D18" s="9" t="s">
        <v>447</v>
      </c>
      <c r="E18" s="10" t="s">
        <v>448</v>
      </c>
      <c r="F18" s="11"/>
      <c r="G18" s="12"/>
      <c r="H18" s="13"/>
    </row>
    <row r="19" spans="2:8" x14ac:dyDescent="0.2">
      <c r="B19" s="8"/>
      <c r="C19" s="9"/>
      <c r="D19" s="9"/>
      <c r="E19" s="10"/>
      <c r="F19" s="11"/>
      <c r="G19" s="12"/>
      <c r="H19" s="13"/>
    </row>
    <row r="20" spans="2:8" x14ac:dyDescent="0.2">
      <c r="B20" s="8"/>
      <c r="C20" s="9"/>
      <c r="D20" s="9"/>
      <c r="E20" s="10"/>
      <c r="F20" s="11"/>
      <c r="G20" s="12"/>
      <c r="H20" s="13"/>
    </row>
    <row r="21" spans="2:8" x14ac:dyDescent="0.2">
      <c r="B21" s="8"/>
      <c r="C21" s="9"/>
      <c r="D21" s="9"/>
      <c r="E21" s="10"/>
      <c r="F21" s="11"/>
      <c r="G21" s="12"/>
      <c r="H21" s="13"/>
    </row>
    <row r="22" spans="2:8" x14ac:dyDescent="0.2">
      <c r="B22" s="8"/>
      <c r="C22" s="9"/>
      <c r="D22" s="9"/>
      <c r="E22" s="10"/>
      <c r="F22" s="11"/>
      <c r="G22" s="12"/>
      <c r="H22" s="13"/>
    </row>
    <row r="23" spans="2:8" x14ac:dyDescent="0.2">
      <c r="B23" s="8"/>
      <c r="C23" s="9"/>
      <c r="D23" s="9"/>
      <c r="E23" s="10"/>
      <c r="F23" s="11"/>
      <c r="G23" s="12"/>
      <c r="H23" s="13"/>
    </row>
    <row r="24" spans="2:8" x14ac:dyDescent="0.2">
      <c r="B24" s="8"/>
      <c r="C24" s="9"/>
      <c r="D24" s="9"/>
      <c r="E24" s="10"/>
      <c r="F24" s="11"/>
      <c r="G24" s="12"/>
      <c r="H24" s="13"/>
    </row>
  </sheetData>
  <autoFilter ref="B6:H19" xr:uid="{C59BC6B0-8656-4FE4-8198-8FB66AA2275D}"/>
  <sortState xmlns:xlrd2="http://schemas.microsoft.com/office/spreadsheetml/2017/richdata2" ref="B7:H18">
    <sortCondition ref="D7:D18"/>
  </sortState>
  <mergeCells count="3">
    <mergeCell ref="B2:H2"/>
    <mergeCell ref="B3:H3"/>
    <mergeCell ref="B4:H4"/>
  </mergeCells>
  <hyperlinks>
    <hyperlink ref="F17" r:id="rId1" xr:uid="{A103A37A-BAD9-4367-A173-2D832BE36244}"/>
    <hyperlink ref="E11" r:id="rId2" xr:uid="{2FA7A0CC-9FFC-40BA-9FE4-1D063542C612}"/>
    <hyperlink ref="F14" r:id="rId3" xr:uid="{1C32F3A7-3408-4EC9-A02E-E314B31CB55A}"/>
    <hyperlink ref="F16" r:id="rId4" xr:uid="{2BF0F368-DFC1-44BE-B71E-6D082AD4DAAA}"/>
    <hyperlink ref="F7" r:id="rId5" xr:uid="{7B0A587E-E1B7-49D7-9ED4-5B1D288A46BB}"/>
  </hyperlinks>
  <pageMargins left="0.25" right="0.25" top="0.75" bottom="0.75" header="0.3" footer="0.3"/>
  <pageSetup scale="88" orientation="landscape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FECHAS</vt:lpstr>
      <vt:lpstr>VMA</vt:lpstr>
      <vt:lpstr>ZARKIN</vt:lpstr>
      <vt:lpstr>ITEKNIA</vt:lpstr>
      <vt:lpstr>VARIAS</vt:lpstr>
      <vt:lpstr>YOLANDA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Cueva</dc:creator>
  <cp:lastModifiedBy>Vicente Cueva</cp:lastModifiedBy>
  <cp:lastPrinted>2025-10-04T16:04:33Z</cp:lastPrinted>
  <dcterms:created xsi:type="dcterms:W3CDTF">2025-02-20T15:38:22Z</dcterms:created>
  <dcterms:modified xsi:type="dcterms:W3CDTF">2026-01-14T02:46:58Z</dcterms:modified>
</cp:coreProperties>
</file>